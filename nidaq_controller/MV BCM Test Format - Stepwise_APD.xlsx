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logycent-my.sharepoint.com/personal/karthigeyan_s_logycent_com/Documents/Sales &amp; Marketing/Rugged Monitoring/Universal AI Module/MV BCM Project/Input/Test Plan/"/>
    </mc:Choice>
  </mc:AlternateContent>
  <xr:revisionPtr revIDLastSave="139" documentId="13_ncr:1_{EACF1FF1-510F-4E6C-B4BF-5A36BA370B3F}" xr6:coauthVersionLast="47" xr6:coauthVersionMax="47" xr10:uidLastSave="{8D6D078F-7BFD-453D-90F7-7EA0925B0A39}"/>
  <bookViews>
    <workbookView xWindow="-110" yWindow="-110" windowWidth="19420" windowHeight="10300" xr2:uid="{00000000-000D-0000-FFFF-FFFF00000000}"/>
  </bookViews>
  <sheets>
    <sheet name="Test Execu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7" i="1"/>
  <c r="L8" i="1"/>
  <c r="L9" i="1"/>
  <c r="L10" i="1"/>
  <c r="L11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6" i="1"/>
  <c r="L5" i="1"/>
  <c r="L4" i="1"/>
  <c r="L3" i="1"/>
  <c r="L2" i="1"/>
  <c r="N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Manoj V</author>
    <author>Bhavishith  K</author>
    <author>Harshitha  Malethodi</author>
    <author>tc={1F150C09-7054-45E1-8BAE-2ADCD0CEBF80}</author>
    <author>tc={4B0F825E-BD69-47BA-A9ED-BD724BC0A90A}</author>
    <author>tc={2C670C3B-75A4-4680-BCBA-A0B0B3E3F5FF}</author>
  </authors>
  <commentList>
    <comment ref="D49" authorId="0" shapeId="0" xr:uid="{8AC64094-8ED8-461B-A9A5-CD7A6261ED46}">
      <text>
        <r>
          <rPr>
            <sz val="9"/>
            <color indexed="81"/>
            <rFont val="Tahoma"/>
            <family val="2"/>
          </rPr>
          <t>Procedure not mentioned properly.</t>
        </r>
      </text>
    </comment>
    <comment ref="D50" authorId="0" shapeId="0" xr:uid="{4EF7597C-41DE-44FF-B023-2534A898969A}">
      <text>
        <r>
          <rPr>
            <sz val="9"/>
            <color indexed="81"/>
            <rFont val="Tahoma"/>
            <family val="2"/>
          </rPr>
          <t xml:space="preserve">Procedure not mentioned properly.
</t>
        </r>
      </text>
    </comment>
    <comment ref="D51" authorId="0" shapeId="0" xr:uid="{F912CAB4-645C-4A1E-ACAA-57D62F96E991}">
      <text>
        <r>
          <rPr>
            <sz val="9"/>
            <color indexed="81"/>
            <rFont val="Tahoma"/>
            <family val="2"/>
          </rPr>
          <t xml:space="preserve">Procedure not mentioned properly.
</t>
        </r>
      </text>
    </comment>
    <comment ref="E85" authorId="1" shapeId="0" xr:uid="{7AE64310-D33F-4C16-8786-133B6D5A3B93}">
      <text>
        <r>
          <rPr>
            <sz val="11"/>
            <color theme="1"/>
            <rFont val="Aptos Narrow"/>
          </rPr>
          <t>Bhavishith  K:
Input= 58.8672mV</t>
        </r>
      </text>
    </comment>
    <comment ref="E86" authorId="2" shapeId="0" xr:uid="{E0C092A7-0049-423A-A887-8FEE949DBE86}">
      <text>
        <r>
          <rPr>
            <sz val="11"/>
            <color theme="1"/>
            <rFont val="Aptos Narrow"/>
          </rPr>
          <t>Harshitha  Malethodi:
Input= 117.7344081mV</t>
        </r>
      </text>
    </comment>
    <comment ref="E87" authorId="2" shapeId="0" xr:uid="{23CB4CD2-9BD1-4CB5-8F48-637E27CA3A2A}">
      <text>
        <r>
          <rPr>
            <sz val="11"/>
            <color theme="1"/>
            <rFont val="Aptos Narrow"/>
          </rPr>
          <t>Harshitha  Malethodi:
Input= 176.6016122mV</t>
        </r>
      </text>
    </comment>
    <comment ref="E88" authorId="2" shapeId="0" xr:uid="{39B5238D-CED9-4BFC-8CCA-C5FAECD2FC66}">
      <text>
        <r>
          <rPr>
            <sz val="11"/>
            <color theme="1"/>
            <rFont val="Aptos Narrow"/>
          </rPr>
          <t xml:space="preserve">Harshitha  Malethodi:
Input: 235.4688163mV
</t>
        </r>
      </text>
    </comment>
    <comment ref="D150" authorId="3" shapeId="0" xr:uid="{1F150C09-7054-45E1-8BAE-2ADCD0CEBF8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Hard reset not present in scematic
</t>
      </text>
    </comment>
    <comment ref="B207" authorId="4" shapeId="0" xr:uid="{4B0F825E-BD69-47BA-A9ED-BD724BC0A9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Power LED not present in schematic</t>
      </text>
    </comment>
    <comment ref="B209" authorId="5" shapeId="0" xr:uid="{2C670C3B-75A4-4680-BCBA-A0B0B3E3F5FF}">
      <text>
        <t>[Threaded comment]
Your version of Excel allows you to read this threaded comment; however, any edits to it will get removed if the file is opened in a newer version of Excel. Learn more: https://go.microsoft.com/fwlink/?linkid=870924
Comment:
    Hard reset not present in schematic</t>
      </text>
    </comment>
  </commentList>
</comments>
</file>

<file path=xl/sharedStrings.xml><?xml version="1.0" encoding="utf-8"?>
<sst xmlns="http://schemas.openxmlformats.org/spreadsheetml/2006/main" count="1697" uniqueCount="684">
  <si>
    <t>Test ID</t>
  </si>
  <si>
    <t>Test / Objective</t>
  </si>
  <si>
    <t>Step</t>
  </si>
  <si>
    <t>Input / Test Condition</t>
  </si>
  <si>
    <t>Input Value</t>
  </si>
  <si>
    <t>Input Unit</t>
  </si>
  <si>
    <t>Expected DUT Value</t>
  </si>
  <si>
    <t>DUT Unit</t>
  </si>
  <si>
    <t>Min Accepted</t>
  </si>
  <si>
    <t>Max Accepted</t>
  </si>
  <si>
    <t>Actual Measured</t>
  </si>
  <si>
    <t>Result</t>
  </si>
  <si>
    <t>Acceptance / Notes</t>
  </si>
  <si>
    <t>AI-01</t>
  </si>
  <si>
    <t>4-20 mA channel accuracy and linearity for TC1</t>
  </si>
  <si>
    <t>Inject 4 mA to TC1, TC2 and CC individually; repeat with all three channels active.</t>
  </si>
  <si>
    <t>mA</t>
  </si>
  <si>
    <t>A</t>
  </si>
  <si>
    <t>TC1/TC2/CC instantaneous values correspond to configured scaling within +/-0.5% FS. No material crosstalk when channels are driven simultaneously.</t>
  </si>
  <si>
    <t>Inject 8 mA to TC1, TC2 and CC individually; repeat with all three channels active.</t>
  </si>
  <si>
    <t>Inject 12 mA to TC1, TC2 and CC individually; repeat with all three channels active.</t>
  </si>
  <si>
    <t>Inject 16 mA to TC1, TC2 and CC individually; repeat with all three channels active.</t>
  </si>
  <si>
    <t>Inject 20 mA to TC1, TC2 and CC individually; repeat with all three channels active.</t>
  </si>
  <si>
    <t>4-20 mA channel accuracy and linearity for TC2</t>
  </si>
  <si>
    <t>4-20 mA channel accuracy and linearity for CC</t>
  </si>
  <si>
    <t>AI-02</t>
  </si>
  <si>
    <t>Motor input accuracy for 4-20 mA and/or 0-333 mV configuration.</t>
  </si>
  <si>
    <t>Configure motor input for 4-20 mA; apply 0% FS.</t>
  </si>
  <si>
    <t>Within +/-1% FS for motor instantaneous measurement. Unsupported mode is documented rather than assumed.</t>
  </si>
  <si>
    <t>Configure motor input for 4-20 mA; apply 25% FS.</t>
  </si>
  <si>
    <t>Configure motor input for 4-20 mA; apply 50% FS.</t>
  </si>
  <si>
    <t>Configure motor input for 4-20 mA; apply 75% FS.</t>
  </si>
  <si>
    <t>Configure motor input for 4-20 mA; apply 100% FS.</t>
  </si>
  <si>
    <t>Configure motor input for 0-333 mV; apply 0% FS.</t>
  </si>
  <si>
    <t>mV</t>
  </si>
  <si>
    <t>Configure motor input for 0-333 mV; apply 25% FS.</t>
  </si>
  <si>
    <t>Configure motor input for 0-333 mV; apply 50% FS.</t>
  </si>
  <si>
    <t>Configure motor input for 0-333 mV; apply 75% FS.</t>
  </si>
  <si>
    <t>Configure motor input for 0-333 mV; apply 100% FS.</t>
  </si>
  <si>
    <t>AI-03</t>
  </si>
  <si>
    <t>Load-current 0-333 mV accuracy.</t>
  </si>
  <si>
    <t>Apply 50 Hz sinusoidal load-current signal at 10% FS.</t>
  </si>
  <si>
    <t>mV RMS</t>
  </si>
  <si>
    <t>A RMS</t>
  </si>
  <si>
    <t>Instantaneous/RMS values satisfy applicable requirements; scaling is stable at both 50 and 60 Hz.</t>
  </si>
  <si>
    <t>Apply 50 Hz sinusoidal load-current signal at 25% FS.</t>
  </si>
  <si>
    <t>Apply 50 Hz sinusoidal load-current signal at 50% FS.</t>
  </si>
  <si>
    <t>Apply 50 Hz sinusoidal load-current signal at 75% FS.</t>
  </si>
  <si>
    <t>Apply 50 Hz sinusoidal load-current signal at 100% FS.</t>
  </si>
  <si>
    <t>Apply 60 Hz sinusoidal load-current signal at 10% FS.</t>
  </si>
  <si>
    <t>Apply 60 Hz sinusoidal load-current signal at 25% FS.</t>
  </si>
  <si>
    <t>Apply 60 Hz sinusoidal load-current signal at 50% FS.</t>
  </si>
  <si>
    <t>Apply 60 Hz sinusoidal load-current signal at 75% FS.</t>
  </si>
  <si>
    <t>Apply 60 Hz sinusoidal load-current signal at 100% FS.</t>
  </si>
  <si>
    <t>AV-01</t>
  </si>
  <si>
    <t>DC voltage accuracy from 0 to 150 VDC.</t>
  </si>
  <si>
    <t>Apply isolated 0 VDC to control-voltage input.</t>
  </si>
  <si>
    <t>VDC</t>
  </si>
  <si>
    <t>Measured control voltage is within +/-0.5% FS at all points.</t>
  </si>
  <si>
    <t>Apply isolated 15 VDC to control-voltage input.</t>
  </si>
  <si>
    <t>Apply isolated 37.5 VDC to control-voltage input.</t>
  </si>
  <si>
    <t>Apply isolated 75 VDC to control-voltage input.</t>
  </si>
  <si>
    <t>Apply isolated 112.5 VDC to control-voltage input.</t>
  </si>
  <si>
    <t>Apply isolated 150 VDC to control-voltage input.</t>
  </si>
  <si>
    <t>AV-02</t>
  </si>
  <si>
    <t>AC voltage accuracy at 50 and 60 Hz.</t>
  </si>
  <si>
    <t>Apply 15 VAC at 50 Hz.</t>
  </si>
  <si>
    <t>VAC RMS</t>
  </si>
  <si>
    <t>Measured value is within +/-0.5% FS where the firmware reports AC RMS. No unintended channel mode change.</t>
  </si>
  <si>
    <t>Apply 75 VAC at 50 Hz.</t>
  </si>
  <si>
    <t>Apply 150 VAC at 50 Hz.</t>
  </si>
  <si>
    <t>Apply 15 VAC at 60 Hz.</t>
  </si>
  <si>
    <t>Apply 75 VAC at 60 Hz.</t>
  </si>
  <si>
    <t>Apply 150 VAC at 60 Hz.</t>
  </si>
  <si>
    <t>PWR-01</t>
  </si>
  <si>
    <t>Nominal supply operation at 24 VDC.</t>
  </si>
  <si>
    <t>Apply DUT supply at 24.0 VDC and execute baseline acquisition/communications.</t>
  </si>
  <si>
    <t>Functional operation</t>
  </si>
  <si>
    <t>N/A</t>
  </si>
  <si>
    <t>Normal startup and operation; no reset or fault; values recorded as baseline.</t>
  </si>
  <si>
    <t>PWR-02</t>
  </si>
  <si>
    <t>Specified lower limit 21.6 VDC.</t>
  </si>
  <si>
    <t>Apply DUT supply at 21.6 VDC and execute baseline acquisition/communications.</t>
  </si>
  <si>
    <t>No reboot, data corruption or acquisition error. All active measurements remain within specified accuracy.</t>
  </si>
  <si>
    <t>PWR-03</t>
  </si>
  <si>
    <t>Specified upper limit 26.4 VDC.</t>
  </si>
  <si>
    <t>Apply DUT supply at 26.4 VDC and execute baseline acquisition/communications.</t>
  </si>
  <si>
    <t>No abnormal heating, reboot, measurement shift beyond tolerance or error log unrelated to test.</t>
  </si>
  <si>
    <t>DI-03</t>
  </si>
  <si>
    <t>Representative field-voltage operation.</t>
  </si>
  <si>
    <t>Apply 24 VDC to applicable DI threshold variant and toggle 100 times.</t>
  </si>
  <si>
    <t>Correct ON/OFF state</t>
  </si>
  <si>
    <t>Correct state is reported for every operation; no missed/extra transitions.</t>
  </si>
  <si>
    <t>Apply 48 VDC to applicable DI threshold variant and toggle 100 times.</t>
  </si>
  <si>
    <t>Apply 60 VDC to applicable DI threshold variant and toggle 100 times.</t>
  </si>
  <si>
    <t>Apply 80 VDC to applicable DI threshold variant and toggle 100 times.</t>
  </si>
  <si>
    <t>Apply 110 VDC to applicable DI threshold variant and toggle 100 times.</t>
  </si>
  <si>
    <t>Apply 125 VDC to applicable DI threshold variant and toggle 100 times.</t>
  </si>
  <si>
    <t>DI-01</t>
  </si>
  <si>
    <t>Low-threshold variant pickup/dropout characterization.</t>
  </si>
  <si>
    <t>Ramp upward through nominal 15 V threshold at specified rate.</t>
  </si>
  <si>
    <t>V nominal threshold</t>
  </si>
  <si>
    <t>Record pickup</t>
  </si>
  <si>
    <t>V</t>
  </si>
  <si>
    <t>TBD</t>
  </si>
  <si>
    <t>Exact pickup/dropout tolerance is not defined in the specification; characterize and record.</t>
  </si>
  <si>
    <t>Ramp downward through nominal 15 V threshold and record dropout.</t>
  </si>
  <si>
    <t>Record dropout</t>
  </si>
  <si>
    <t>DI-02</t>
  </si>
  <si>
    <t>High-threshold variant pickup/dropout characterization.</t>
  </si>
  <si>
    <t>Ramp upward through nominal 45 V threshold at specified rate.</t>
  </si>
  <si>
    <t>Ramp downward through nominal 45 V threshold and record dropout.</t>
  </si>
  <si>
    <t>DAQ-01</t>
  </si>
  <si>
    <t>Verify 50 kHz sample rate.</t>
  </si>
  <si>
    <t>Capture known periodic waveform and calculate sample interval from exported raw data.</t>
  </si>
  <si>
    <t>kHz</t>
  </si>
  <si>
    <t>us/sample</t>
  </si>
  <si>
    <t>Specification defines 50 kHz; allowable sample-clock tolerance is not numerically stated.</t>
  </si>
  <si>
    <t>TIM-01</t>
  </si>
  <si>
    <t>Trip 1 nominal timing.</t>
  </si>
  <si>
    <t>Program command-to-confirmation delay of 20 ms using synchronized DI sequence.</t>
  </si>
  <si>
    <t>ms</t>
  </si>
  <si>
    <t>Trip 1 time error &lt;= +/-0.1 ms relative to reference sequence.</t>
  </si>
  <si>
    <t>Program command-to-confirmation delay of 40 ms using synchronized DI sequence.</t>
  </si>
  <si>
    <t>Program command-to-confirmation delay of 60 ms using synchronized DI sequence.</t>
  </si>
  <si>
    <t>Program command-to-confirmation delay of 100 ms using synchronized DI sequence.</t>
  </si>
  <si>
    <t>TIM-05</t>
  </si>
  <si>
    <t>Backup trip nominal timing.</t>
  </si>
  <si>
    <t>Backup Trip 2 time error &lt;= +/-0.1 ms and event is classified as backup trip.</t>
  </si>
  <si>
    <t>TIM-08</t>
  </si>
  <si>
    <t>Close nominal timing.</t>
  </si>
  <si>
    <t>Close time error &lt;= +/-0.1 ms relative to the source signals defined by the specification.</t>
  </si>
  <si>
    <t>MTR-01</t>
  </si>
  <si>
    <t>Motor instantaneous current accuracy.</t>
  </si>
  <si>
    <t>Replay normal motor waveform scaled to 0% of 100 A FS.</t>
  </si>
  <si>
    <t>% FS equivalent</t>
  </si>
  <si>
    <t>Instantaneous current within +/-1% FS.</t>
  </si>
  <si>
    <t>Replay normal motor waveform scaled to 25% of 100 A FS.</t>
  </si>
  <si>
    <t>Replay normal motor waveform scaled to 50% of 100 A FS.</t>
  </si>
  <si>
    <t>Replay normal motor waveform scaled to 75% of 100 A FS.</t>
  </si>
  <si>
    <t>Replay normal motor waveform scaled to 100% of 100 A FS.</t>
  </si>
  <si>
    <t>MTR-02</t>
  </si>
  <si>
    <t>Motor RMS current accuracy.</t>
  </si>
  <si>
    <t>Replay motor-like waveform with independently verified RMS of 10 A.</t>
  </si>
  <si>
    <t>A RMS equivalent</t>
  </si>
  <si>
    <t>Within +/-0.5% FS as stated in parameter table; note physical channel is specified +/-1% FS and log this discrepancy for clarification.</t>
  </si>
  <si>
    <t>Replay motor-like waveform with independently verified RMS of 25 A.</t>
  </si>
  <si>
    <t>Replay motor-like waveform with independently verified RMS of 50 A.</t>
  </si>
  <si>
    <t>Replay motor-like waveform with independently verified RMS of 75 A.</t>
  </si>
  <si>
    <t>Replay motor-like waveform with independently verified RMS of 100 A.</t>
  </si>
  <si>
    <t>MTR-03</t>
  </si>
  <si>
    <t>Motor peak current.</t>
  </si>
  <si>
    <t>Replay motor-start waveform with known 25 A peak.</t>
  </si>
  <si>
    <t>A peak equivalent</t>
  </si>
  <si>
    <t>A peak</t>
  </si>
  <si>
    <t>Peak within +/-1% FS.</t>
  </si>
  <si>
    <t>Replay motor-start waveform with known 50 A peak.</t>
  </si>
  <si>
    <t>Replay motor-start waveform with known 75 A peak.</t>
  </si>
  <si>
    <t>Replay motor-start waveform with known 100 A peak.</t>
  </si>
  <si>
    <t>MTR-04</t>
  </si>
  <si>
    <t>Motor inrush current.</t>
  </si>
  <si>
    <t>Replay fast inrush waveform with known 25 A peak.</t>
  </si>
  <si>
    <t>A inrush</t>
  </si>
  <si>
    <t>Inrush value within +/-2% FS and transient is fully captured.</t>
  </si>
  <si>
    <t>Replay fast inrush waveform with known 50 A peak.</t>
  </si>
  <si>
    <t>Replay fast inrush waveform with known 75 A peak.</t>
  </si>
  <si>
    <t>Replay fast inrush waveform with known 100 A peak.</t>
  </si>
  <si>
    <t>MTR-05</t>
  </si>
  <si>
    <t>Motor run time per cycle.</t>
  </si>
  <si>
    <t>Generate motor current above run threshold for exactly 1 s.</t>
  </si>
  <si>
    <t>s</t>
  </si>
  <si>
    <t>Run-time error &lt;= +/-0.1% of measured interval or approved interpretation of timer accuracy.</t>
  </si>
  <si>
    <t>Generate motor current above run threshold for exactly 3 s.</t>
  </si>
  <si>
    <t>Generate motor current above run threshold for exactly 5 s.</t>
  </si>
  <si>
    <t>Generate motor current above run threshold for exactly 10 s.</t>
  </si>
  <si>
    <t>Generate motor current above run threshold for exactly 20 s.</t>
  </si>
  <si>
    <t>LOAD-01</t>
  </si>
  <si>
    <t>Load instantaneous current accuracy.</t>
  </si>
  <si>
    <t>Inject 333 mV-scaled waveform with known instantaneous current equivalent of 2 A.</t>
  </si>
  <si>
    <t>mV equivalent</t>
  </si>
  <si>
    <t>A Instantaneous</t>
  </si>
  <si>
    <t>Instantaneous load-current requirement met within +/-1% FS.</t>
  </si>
  <si>
    <t>Inject 333 mV-scaled waveform with known instantaneous current equivalent of 5 A.</t>
  </si>
  <si>
    <t>Inject 333 mV-scaled waveform with known instantaneous current equivalent of 10 A.</t>
  </si>
  <si>
    <t>Inject 333 mV-scaled waveform with known instantaneous current equivalent of 15 A.</t>
  </si>
  <si>
    <t>Inject 333 mV-scaled waveform with known instantaneous current equivalent of 20 A.</t>
  </si>
  <si>
    <t>LOAD-02</t>
  </si>
  <si>
    <t>Load RMS accuracy.</t>
  </si>
  <si>
    <t>Inject 333 mV-scaled waveform with known rms current equivalent of 2 A.</t>
  </si>
  <si>
    <t>Reported RMS within +/-1% FS.</t>
  </si>
  <si>
    <t>Inject 333 mV-scaled waveform with known rms current equivalent of 5 A.</t>
  </si>
  <si>
    <t>Inject 333 mV-scaled waveform with known rms current equivalent of 10 A.</t>
  </si>
  <si>
    <t>Inject 333 mV-scaled waveform with known rms current equivalent of 15 A.</t>
  </si>
  <si>
    <t>Inject 333 mV-scaled waveform with known rms current equivalent of 20 A.</t>
  </si>
  <si>
    <t>LOAD-03</t>
  </si>
  <si>
    <t>Load peak accuracy.</t>
  </si>
  <si>
    <t>Inject 333 mV-scaled waveform with known peak current equivalent of 2 A.</t>
  </si>
  <si>
    <t>A Peak</t>
  </si>
  <si>
    <t>Peak within +/-2% FS.</t>
  </si>
  <si>
    <t>Inject 333 mV-scaled waveform with known peak current equivalent of 5 A.</t>
  </si>
  <si>
    <t>Inject 333 mV-scaled waveform with known peak current equivalent of 10 A.</t>
  </si>
  <si>
    <t>Inject 333 mV-scaled waveform with known peak current equivalent of 15 A.</t>
  </si>
  <si>
    <t>Inject 333 mV-scaled waveform with known peak current equivalent of 20 A.</t>
  </si>
  <si>
    <t>FAULT-01</t>
  </si>
  <si>
    <t>Fault-current instantaneous accuracy.</t>
  </si>
  <si>
    <t>Replay fault waveform with known instantaneous current equivalent of 5 A.</t>
  </si>
  <si>
    <t>Fault instantaneous value within +/-3% FS.</t>
  </si>
  <si>
    <t>Replay fault waveform with known instantaneous current equivalent of 10 A.</t>
  </si>
  <si>
    <t>Replay fault waveform with known instantaneous current equivalent of 15 A.</t>
  </si>
  <si>
    <t>Replay fault waveform with known instantaneous current equivalent of 20 A.</t>
  </si>
  <si>
    <t>FAULT-02</t>
  </si>
  <si>
    <t>Fault-current peak accuracy.</t>
  </si>
  <si>
    <t>Replay fault waveform with known peak current equivalent of 5 A.</t>
  </si>
  <si>
    <t>Peak within +/-5% FS.</t>
  </si>
  <si>
    <t>Replay fault waveform with known peak current equivalent of 10 A.</t>
  </si>
  <si>
    <t>Replay fault waveform with known peak current equivalent of 15 A.</t>
  </si>
  <si>
    <t>Replay fault waveform with known peak current equivalent of 20 A.</t>
  </si>
  <si>
    <t>ARC-01</t>
  </si>
  <si>
    <t>Known arcing interval.</t>
  </si>
  <si>
    <t>Generate contact-parting reference and final current extinction separated by 2 ms.</t>
  </si>
  <si>
    <t>Reported arcing-time error &lt;= +/-0.1 ms.</t>
  </si>
  <si>
    <t>Generate contact-parting reference and final current extinction separated by 5 ms.</t>
  </si>
  <si>
    <t>Generate contact-parting reference and final current extinction separated by 10 ms.</t>
  </si>
  <si>
    <t>Generate contact-parting reference and final current extinction separated by 15 ms.</t>
  </si>
  <si>
    <t>EVT-01</t>
  </si>
  <si>
    <t>Verify pre/post-trigger record length for 200/300 ms events.</t>
  </si>
  <si>
    <t>Generate event with identifiable markers and verify pre-trigger window.</t>
  </si>
  <si>
    <t>One continuous record with 200 ms pre-trigger + 300 ms post-trigger; trigger boundary is correct within timing requirement.</t>
  </si>
  <si>
    <t>Generate event with identifiable markers and verify post-trigger window.</t>
  </si>
  <si>
    <t>EVT-02</t>
  </si>
  <si>
    <t>Verify motor 5000/5000 ms capture.</t>
  </si>
  <si>
    <t>Required 5 s pre-trigger and 5 s post-trigger data are retained without gaps.</t>
  </si>
  <si>
    <t>EVT-03</t>
  </si>
  <si>
    <t>Verify short 10/20 ms fault/arcing record.</t>
  </si>
  <si>
    <t>10 ms pre + 20 ms post capture with correct sequence and no missing samples.</t>
  </si>
  <si>
    <t>CNT-01</t>
  </si>
  <si>
    <t>Total trip operation count.</t>
  </si>
  <si>
    <t>Generate 100 main-trip + 20 backup-trip valid operations.</t>
  </si>
  <si>
    <t>operations</t>
  </si>
  <si>
    <t>count</t>
  </si>
  <si>
    <t>Trip operation count matches approved counting rule exactly; bounce does not create extra count.</t>
  </si>
  <si>
    <t>CNT-02</t>
  </si>
  <si>
    <t>Total close operation count.</t>
  </si>
  <si>
    <t>Generate 120 valid close operations; failed closes are separate negative checks.</t>
  </si>
  <si>
    <t>Valid close count equals expected value; failed operations are counted/not counted according to documented rule.</t>
  </si>
  <si>
    <t>CNT-03</t>
  </si>
  <si>
    <t>Cumulative operation persistence.</t>
  </si>
  <si>
    <t>Generate 200 mixed valid operations and verify persistence through resets/power cycles.</t>
  </si>
  <si>
    <t>Counters persist without loss or unexplained increment.</t>
  </si>
  <si>
    <t>STO-02</t>
  </si>
  <si>
    <t>100-event capacity.</t>
  </si>
  <si>
    <t>Generate exactly 100 uniquely identifiable events.</t>
  </si>
  <si>
    <t>events</t>
  </si>
  <si>
    <t>stored events</t>
  </si>
  <si>
    <t>All 100 expected records are retained in correct chronological order.</t>
  </si>
  <si>
    <t>STO-03</t>
  </si>
  <si>
    <t>Oldest-overwrite behavior.</t>
  </si>
  <si>
    <t>Generate 110 events total and verify circular storage retains newest 100.</t>
  </si>
  <si>
    <t>Oldest records are overwritten according to the specified circular policy; newest 100 remain and no index corruption occurs.</t>
  </si>
  <si>
    <t>INS-01</t>
  </si>
  <si>
    <t>Verify model, serial/asset ID, hardware revision, PCB revision, firmware, bootloader and configuration baseline.</t>
  </si>
  <si>
    <t>Record all identifiers before power-up. Export or archive the factory/default configuration. Photograph the unit and connectors.</t>
  </si>
  <si>
    <t>Per test acceptance</t>
  </si>
  <si>
    <t>All identifiers are readable and consistent with the test request. Configuration backup is stored with the test record.</t>
  </si>
  <si>
    <t>INS-02</t>
  </si>
  <si>
    <t>Visual workmanship and connector inspection.</t>
  </si>
  <si>
    <t>Inspect enclosure, PCB-visible areas, terminal blocks, LEDs, reset access, labels, SD-card installation and signs of damage or contamination.</t>
  </si>
  <si>
    <t>No damaged, loose, contaminated or incorrectly fitted parts. Connector labels match documentation.</t>
  </si>
  <si>
    <t>INS-03</t>
  </si>
  <si>
    <t>DIN-rail mounting and approximate mechanical envelope.</t>
  </si>
  <si>
    <t>Mount/remove the unit on the intended DIN rail three times. Measure overall D/H/W and verify cable/terminal access.</t>
  </si>
  <si>
    <t>Secure fit without unintended release. No interference with terminals. Dimensions are consistent with the current mechanical drawing or recorded as a controlled deviation.</t>
  </si>
  <si>
    <t>INS-04</t>
  </si>
  <si>
    <t>Protective earth provision and low-resistance continuity check.</t>
  </si>
  <si>
    <t>Verify dedicated PE point. Using a low-current ohmmeter, measure continuity from PE point to accessible chassis metal. This is an engineering continuity check, not a formal safety test.</t>
  </si>
  <si>
    <t>A stable low-resistance connection is present; value is recorded. Any intermittent/open connection is a failure.</t>
  </si>
  <si>
    <t>INS-05</t>
  </si>
  <si>
    <t>Establish baseline functional health.</t>
  </si>
  <si>
    <t>Apply nominal 24 VDC, allow boot to complete, verify LEDs, local access, Ethernet link, SD-card detection and live readings at zero input.</t>
  </si>
  <si>
    <t>Device boots without error; no unexpected alarm; all interfaces intended for this build are accessible.</t>
  </si>
  <si>
    <t>PWR-04</t>
  </si>
  <si>
    <t>Brownout characterization below specified range.</t>
  </si>
  <si>
    <t>Decrease supply in 0.5 V steps from 21.6 V until the DUT resets or shuts down. Repeat with a slow ramp and a 100 ms step.</t>
  </si>
  <si>
    <t>Behavior is controlled: no corrupted configuration/counters/event files. Brownout threshold and recovery behavior are documented as characterization.</t>
  </si>
  <si>
    <t>PWR-05</t>
  </si>
  <si>
    <t>Short and repeated interruptions.</t>
  </si>
  <si>
    <t>At nominal operation, interrupt supply for 10 ms, 50 ms, 100 ms, 500 ms, 2 s and 10 s. Repeat during idle, event capture, SD write and MQTT publish.</t>
  </si>
  <si>
    <t>If the DUT remains powered, acquisition continues correctly. If it resets, it returns to a valid state. No corrupted persistent data or false operation count.</t>
  </si>
  <si>
    <t>PWR-06</t>
  </si>
  <si>
    <t>Reverse-polarity protection.</t>
  </si>
  <si>
    <t>With current limit set to a safe value, connect -24 VDC for 10 s. Remove, restore correct polarity and boot.</t>
  </si>
  <si>
    <t>No damage, excessive current or smoke/odor. DUT functions normally after correct polarity is restored.</t>
  </si>
  <si>
    <t>PWR-07</t>
  </si>
  <si>
    <t>Input fuse / input protection behavior.</t>
  </si>
  <si>
    <t>Verify presence/rating of the intended input fuse by inspection and controlled low-voltage overcurrent method approved by hardware engineering. Do not perform destructive certification fault-current testing.</t>
  </si>
  <si>
    <t>Protection component matches design intent; no unsafe bypass or incorrect assembly.</t>
  </si>
  <si>
    <t>PWR-08</t>
  </si>
  <si>
    <t>Power cycling endurance.</t>
  </si>
  <si>
    <t>Automate 500 power cycles: 60 s ON / 10 s OFF. Every 25 cycles generate a breaker event before power removal.</t>
  </si>
  <si>
    <t>All cycles recover normally; counters/events remain consistent; no progressive boot-time or storage errors.</t>
  </si>
  <si>
    <t>AI-04</t>
  </si>
  <si>
    <t>Analog input under-range, zero and over-range behavior.</t>
  </si>
  <si>
    <t>Apply 0 mA/0 mV, slightly below nominal minimum where possible, and 105%, 110% and 120% of normal terminal signal within safe hardware limits.</t>
  </si>
  <si>
    <t>No damage or latched invalid state. Over-range is clipped/flagged consistently; normal measurement resumes after returning in range.</t>
  </si>
  <si>
    <t>AI-05</t>
  </si>
  <si>
    <t>Open, short and reverse-polarity sensor fault behavior.</t>
  </si>
  <si>
    <t>At each relevant analog input disconnect sensor, short terminal pair through approved low impedance, and reverse polarity only if safe for the input design.</t>
  </si>
  <si>
    <t>No permanent damage. Diagnostics/logging behave as implemented. Normal measurement returns after fault removal. Any unspecified behavior is recorded.</t>
  </si>
  <si>
    <t>AI-06</t>
  </si>
  <si>
    <t>Channel crosstalk at simultaneous full-scale.</t>
  </si>
  <si>
    <t>Drive one channel with full-scale dynamic waveform while adjacent channels are held at 25% FS; rotate through all analog channels. Repeat with all channels active.</t>
  </si>
  <si>
    <t>Non-driven channels remain within their specified accuracy. No false triggers or waveform artifacts attributable to crosstalk.</t>
  </si>
  <si>
    <t>AI-07</t>
  </si>
  <si>
    <t>Noise immunity characterization at terminal level.</t>
  </si>
  <si>
    <t>Superimpose controlled low-amplitude broadband or sinusoidal noise on mid-scale analog signals. Increase until measurement visibly degrades; remain within safe terminal limits.</t>
  </si>
  <si>
    <t>At agreed engineering noise level, no false event trigger and measurements remain inside specified tolerance. Threshold of degradation is documented.</t>
  </si>
  <si>
    <t>AI-08</t>
  </si>
  <si>
    <t>Sensor scaling and configuration retention.</t>
  </si>
  <si>
    <t>Program each channel scaling, power cycle, hard reset and perform 100 events. Verify scaling remains unchanged unless intentionally modified.</t>
  </si>
  <si>
    <t>Configured scaling persists and is applied consistently to live data, event files and MQTT outputs.</t>
  </si>
  <si>
    <t>AV-03</t>
  </si>
  <si>
    <t>Voltage sag, interruption and ripple.</t>
  </si>
  <si>
    <t>From nominal control voltage, apply 10%, 20%, 40% sag, 100 ms interruption and superimposed ripple. Generate a trip/close event during each condition.</t>
  </si>
  <si>
    <t>Event capture remains valid; measured voltage reflects the disturbance; no false status or reset.</t>
  </si>
  <si>
    <t>AV-04</t>
  </si>
  <si>
    <t>Over-range and recovery.</t>
  </si>
  <si>
    <t>Increase input above 150 V only to the approved engineering over-range limit. Return to normal input.</t>
  </si>
  <si>
    <t>No permanent damage. Over-range is handled predictably and normal accuracy returns afterward.</t>
  </si>
  <si>
    <t>AV-05</t>
  </si>
  <si>
    <t>230 VAC desired capability - conditional.</t>
  </si>
  <si>
    <t>Execute only if hardware engineering confirms this prototype is designed for 230 VAC. Apply staged AC levels up to approved maximum.</t>
  </si>
  <si>
    <t>Pass criterion is the approved design requirement. Otherwise mark Not Applicable / Future Option; do not treat as a prototype failure.</t>
  </si>
  <si>
    <t>DI-04</t>
  </si>
  <si>
    <t>Contact bounce rejection / event handling.</t>
  </si>
  <si>
    <t>Generate 1-10 ms bounce trains around intended state transition with 0.5-2 ms pulse spacing. Repeat for Trip, Backup Trip, Close, 52A and 52B.</t>
  </si>
  <si>
    <t>Raw status captures transitions as designed, while event counters/timing do not double-count a single physical operation. Any debounce rule is documented.</t>
  </si>
  <si>
    <t>DI-05</t>
  </si>
  <si>
    <t>Slow edge and threshold dwell.</t>
  </si>
  <si>
    <t>Ramp slowly through threshold and dwell within +/-2 V around the switching point for 5 s.</t>
  </si>
  <si>
    <t>No uncontrolled oscillation or repeated false operation count. Hysteresis behavior is stable.</t>
  </si>
  <si>
    <t>DI-06</t>
  </si>
  <si>
    <t>Short noise pulses.</t>
  </si>
  <si>
    <t>Apply sub-threshold and above-threshold pulses of 50 us, 100 us, 500 us, 1 ms and 5 ms.</t>
  </si>
  <si>
    <t>Behavior is consistent with the sampling/debounce design; no false operation count. Minimum accepted pulse width is characterized.</t>
  </si>
  <si>
    <t>DI-07</t>
  </si>
  <si>
    <t>Simultaneous digital transitions and inter-channel skew.</t>
  </si>
  <si>
    <t>Switch all five DIs simultaneously from a common reference trigger. Measure recorded transition timestamps.</t>
  </si>
  <si>
    <t>Inter-channel timing skew is consistent with +/-0.1 ms system timing requirement or a tighter approved internal target.</t>
  </si>
  <si>
    <t>DI-08</t>
  </si>
  <si>
    <t>Contradictory 52A/52B states.</t>
  </si>
  <si>
    <t>Apply both OFF, both ON, delayed complement, overlap and gap states. Repeat during trip and close sequences.</t>
  </si>
  <si>
    <t>No crash or incorrect counter increment. Contradictory state is logged/flagged if implemented; event record preserves raw DI states.</t>
  </si>
  <si>
    <t>DAQ-02</t>
  </si>
  <si>
    <t>Verify simultaneous sampling / channel alignment.</t>
  </si>
  <si>
    <t>Feed the same edge or sine waveform to multiple analog channels through appropriate scaling interfaces. Compare sample index and phase of the captured transition.</t>
  </si>
  <si>
    <t>No material sequential-scan skew; measured inter-channel skew supports required timing accuracy.</t>
  </si>
  <si>
    <t>DAQ-03</t>
  </si>
  <si>
    <t>Frequency response from DC/low frequency to 20 kHz.</t>
  </si>
  <si>
    <t>Sweep low-level sinusoidal input through representative frequencies: 10 Hz, 50 Hz, 100 Hz, 1 kHz, 5 kHz, 10 kHz, 15 kHz, 20 kHz.</t>
  </si>
  <si>
    <t>Gain/phase response is documented. The product meets the design-defined 20 kHz bandwidth interpretation; if tolerance is not specified, log as open requirement.</t>
  </si>
  <si>
    <t>DAQ-04</t>
  </si>
  <si>
    <t>Anti-alias characterization above 20 kHz.</t>
  </si>
  <si>
    <t>Inject frequencies above 20 kHz up to the safe generator/interface limit and observe captured aliased content.</t>
  </si>
  <si>
    <t>Attenuation trend demonstrates anti-alias filtering. Numeric stop-band criterion is documented as characterization unless defined by design.</t>
  </si>
  <si>
    <t>DAQ-05</t>
  </si>
  <si>
    <t>Noise floor and effective resolution.</t>
  </si>
  <si>
    <t>Short/zero the input using the approved termination and capture 10 s of data at room temperature.</t>
  </si>
  <si>
    <t>Noise floor is stable and does not cause false event detection. RMS noise and peak-to-peak noise are recorded as baseline.</t>
  </si>
  <si>
    <t>DAQ-06</t>
  </si>
  <si>
    <t>Missing/duplicate sample check under maximum activity.</t>
  </si>
  <si>
    <t>Run all analog channels with dynamic waveforms, toggle all DIs, publish MQTT and create event files continuously for 30 min. Analyze sample indexes/timestamps.</t>
  </si>
  <si>
    <t>No unexplained missing/duplicated samples or corrupt waveform segments.</t>
  </si>
  <si>
    <t>DAQ-07</t>
  </si>
  <si>
    <t>Clipping and recovery.</t>
  </si>
  <si>
    <t>Drive each analog channel to full scale, then controlled over-range, then back to 50% FS.</t>
  </si>
  <si>
    <t>Clipping is deterministic; no prolonged recovery artifact; subsequent measurements return to tolerance.</t>
  </si>
  <si>
    <t>EVT-04</t>
  </si>
  <si>
    <t>Back-to-back events.</t>
  </si>
  <si>
    <t>Generate two trip/close sequences separated by 1 s, 500 ms, 200 ms and 50 ms.</t>
  </si>
  <si>
    <t>System behavior is deterministic: both events are captured when supported, or documented event-rearm rule is applied without file corruption.</t>
  </si>
  <si>
    <t>EVT-05</t>
  </si>
  <si>
    <t>Event longer than post-trigger window.</t>
  </si>
  <si>
    <t>Generate motor or coil waveform that intentionally extends beyond configured post-trigger.</t>
  </si>
  <si>
    <t>Record truncation behavior is controlled and indicated if applicable; no corruption. Requirement gap is logged if complete physical event is expected but window is insufficient.</t>
  </si>
  <si>
    <t>EVT-06</t>
  </si>
  <si>
    <t>Trigger during startup, network load and storage activity.</t>
  </si>
  <si>
    <t>Generate events immediately after boot, during MQTT reconnect, during event export and during SD-card rollover.</t>
  </si>
  <si>
    <t>No crash or corrupted event. Unsupported startup dead time is characterized and documented.</t>
  </si>
  <si>
    <t>COIL-01</t>
  </si>
  <si>
    <t>TC1 normal operation waveform.</t>
  </si>
  <si>
    <t>Replay a reference 4-20 mA waveform representing trip-coil pickup, armature movement dip and steady current. Compare instantaneous waveform, RMS and peak to reference.</t>
  </si>
  <si>
    <t>TC1 instantaneous and RMS within +/-0.5% FS; peak within +/-1% FS; waveform shape and event timing preserved.</t>
  </si>
  <si>
    <t>COIL-02</t>
  </si>
  <si>
    <t>TC2 normal backup-trip waveform.</t>
  </si>
  <si>
    <t>Repeat COIL-01 on TC2 using independent backup-trip command.</t>
  </si>
  <si>
    <t>TC2 measurements meet applicable accuracy and event is uniquely identified from TC1.</t>
  </si>
  <si>
    <t>COIL-03</t>
  </si>
  <si>
    <t>Close coil normal waveform.</t>
  </si>
  <si>
    <t>Replay normal close-coil waveform with CloseInitiate_Cmd and 52A transition.</t>
  </si>
  <si>
    <t>CC instantaneous/RMS/peak accuracy meets specification; close event associated with correct command.</t>
  </si>
  <si>
    <t>COIL-04</t>
  </si>
  <si>
    <t>RMS algorithm verification.</t>
  </si>
  <si>
    <t>Apply DC level, sine wave, rectified waveform and realistic coil transient with independently calculated RMS over the firmware-defined window.</t>
  </si>
  <si>
    <t>Reported RMS agrees with reference within stated accuracy. If RMS window is undocumented, log exact observed/assumed window.</t>
  </si>
  <si>
    <t>COIL-05</t>
  </si>
  <si>
    <t>Peak algorithm verification.</t>
  </si>
  <si>
    <t>Replay waveforms with single peak, repeated peaks and narrow spike. Compare reported peak with reference sample-domain maximum.</t>
  </si>
  <si>
    <t>Reported peak meets specified accuracy and uses a repeatable definition.</t>
  </si>
  <si>
    <t>COIL-06</t>
  </si>
  <si>
    <t>Degraded/faulty coil signatures.</t>
  </si>
  <si>
    <t>Replay weak current, excessive current, missing armature dip, open coil, intermittent current, chatter and clipped sensor output.</t>
  </si>
  <si>
    <t>Raw waveform is captured without corruption; calculated values reflect injected condition; any implemented diagnostic is correctly flagged with no false counter increments.</t>
  </si>
  <si>
    <t>TIM-02</t>
  </si>
  <si>
    <t>Trip 1 fast/slow boundary operation.</t>
  </si>
  <si>
    <t>Program very fast and very slow realistic timing while remaining inside event window.</t>
  </si>
  <si>
    <t>Correct timing is reported without overflow or negative time.</t>
  </si>
  <si>
    <t>TIM-03</t>
  </si>
  <si>
    <t>Trip command without TC1 current.</t>
  </si>
  <si>
    <t>Assert TripInitiate_Cmd but keep TC1 at zero; optionally transition 52A.</t>
  </si>
  <si>
    <t>No fabricated normal coil waveform. Event/raw data show missing current; timing behavior is documented and diagnostic generated if supported.</t>
  </si>
  <si>
    <t>TIM-04</t>
  </si>
  <si>
    <t>TC1 current without trip command.</t>
  </si>
  <si>
    <t>Inject TC1 waveform without TripInitiate_Cmd and optionally change 52A.</t>
  </si>
  <si>
    <t>No false commanded trip count; raw event behavior is consistent with trigger configuration.</t>
  </si>
  <si>
    <t>TIM-06</t>
  </si>
  <si>
    <t>Main trip fails, backup trip succeeds.</t>
  </si>
  <si>
    <t>Assert main trip command with no 52A change, then delayed backup trip with TC2 and 52A transition.</t>
  </si>
  <si>
    <t>Sequence is preserved; backup-trip timing is correct; counters do not double-count the same physical opening.</t>
  </si>
  <si>
    <t>TIM-07</t>
  </si>
  <si>
    <t>Main and backup trip overlap.</t>
  </si>
  <si>
    <t>Assert Trip 1 and Backup Trip commands within 0, 1, 5 and 20 ms of each other; drive TC1/TC2 accordingly.</t>
  </si>
  <si>
    <t>Both source signals are captured; operation counter logic follows approved rule; no corrupted timing.</t>
  </si>
  <si>
    <t>TIM-09</t>
  </si>
  <si>
    <t>Failed close / already closed.</t>
  </si>
  <si>
    <t>Issue close command with no 52A transition; repeat when 52A is already ON.</t>
  </si>
  <si>
    <t>No false successful close count unless approved counter rule says otherwise; event record shows the actual states.</t>
  </si>
  <si>
    <t>TIM-10</t>
  </si>
  <si>
    <t>Bounce and contradictory 52A/52B during timing.</t>
  </si>
  <si>
    <t>Add bounce, overlap and missing transitions to otherwise normal trip/close sequence.</t>
  </si>
  <si>
    <t>No double-counting. Timing result is stable or invalidated/flagged according to algorithm; raw transitions remain available.</t>
  </si>
  <si>
    <t>MTR-06</t>
  </si>
  <si>
    <t>Abnormal motor behavior.</t>
  </si>
  <si>
    <t>Replay stalled motor, repeated restart, excessive inrush, low current, interrupted cycle, chatter and motor current with no breaker operation.</t>
  </si>
  <si>
    <t>Waveforms/cycle data reflect injected condition; no false breaker operation count; implemented diagnostics are correct.</t>
  </si>
  <si>
    <t>CNT-04</t>
  </si>
  <si>
    <t>Counter rollover/reset behavior.</t>
  </si>
  <si>
    <t>Use engineering service method or accelerated test mechanism to approach configured counter limit; test authorized reset if available.</t>
  </si>
  <si>
    <t>No wrap to incorrect negative/zero value unless explicitly designed. Reset requires approved access and is logged if implemented.</t>
  </si>
  <si>
    <t>LOAD-04</t>
  </si>
  <si>
    <t>50/60 Hz and step response.</t>
  </si>
  <si>
    <t>Switch between 50 and 60 Hz, then apply sudden load steps from 10% to 90% FS.</t>
  </si>
  <si>
    <t>No erroneous fault event solely from frequency change; load value settles predictably.</t>
  </si>
  <si>
    <t>LOAD-05</t>
  </si>
  <si>
    <t>CT/sensor abnormal conditions.</t>
  </si>
  <si>
    <t>Open the 333 mV sensor output, short the input as allowed, reverse polarity, apply low-amplitude noise and scaling mismatch.</t>
  </si>
  <si>
    <t>No damage; readings and diagnostics behave predictably; normal operation returns after fault removal.</t>
  </si>
  <si>
    <t>FAULT-03</t>
  </si>
  <si>
    <t>Fault inception angle and DC offset.</t>
  </si>
  <si>
    <t>Replay 50/60 Hz faults starting at 0, 30, 60 and 90 electrical degrees with several DC offsets.</t>
  </si>
  <si>
    <t>Event is captured without sample loss; calculated instantaneous/peak remain within applicable tolerance.</t>
  </si>
  <si>
    <t>FAULT-04</t>
  </si>
  <si>
    <t>Fault threshold boundary characterization.</t>
  </si>
  <si>
    <t>Sweep current around the firmware fault-classification threshold.</t>
  </si>
  <si>
    <t>Threshold and hysteresis are repeatable. If threshold is not specified, log it as an open requirement rather than creating a hidden acceptance limit.</t>
  </si>
  <si>
    <t>ARC-02</t>
  </si>
  <si>
    <t>Multiple current zero crossings before final extinction.</t>
  </si>
  <si>
    <t>Replay AC fault current that crosses zero naturally several times before final current extinction.</t>
  </si>
  <si>
    <t>Algorithm uses final extinction according to approved definition; result matches reference within +/-0.1 ms.</t>
  </si>
  <si>
    <t>ARC-03</t>
  </si>
  <si>
    <t>Low current, current chopping and DC offset.</t>
  </si>
  <si>
    <t>Replay low-amplitude interruption, chopped current and offset waveforms.</t>
  </si>
  <si>
    <t>Arcing time remains stable when above detection capability; any minimum current criterion is documented.</t>
  </si>
  <si>
    <t>ARC-04</t>
  </si>
  <si>
    <t>Incorrect/missing 52A reference.</t>
  </si>
  <si>
    <t>Shift 52A early/late and then remove the 52A transition.</t>
  </si>
  <si>
    <t>Calculated result changes consistently with source reference or is invalidated; no silent presentation of a misleading valid arcing time.</t>
  </si>
  <si>
    <t>WEAR-01</t>
  </si>
  <si>
    <t>Single-event I^2t calculation.</t>
  </si>
  <si>
    <t>Replay a known current waveform. Independently integrate I^2 over the algorithm-defined arcing interval using reference samples.</t>
  </si>
  <si>
    <t>DUT event wear result agrees within +/-0.5% if this requirement applies to algorithm output; otherwise deviation/open requirement is recorded.</t>
  </si>
  <si>
    <t>WEAR-02</t>
  </si>
  <si>
    <t>Cumulative wear across multiple events.</t>
  </si>
  <si>
    <t>Replay a sequence of at least 50 interruptions with different current magnitudes and durations. Maintain independent cumulative I^2t.</t>
  </si>
  <si>
    <t>DUT cumulative value tracks reference without missed/duplicate event contribution and persists through power cycles.</t>
  </si>
  <si>
    <t>WEAR-03</t>
  </si>
  <si>
    <t>Boundary/fault behavior.</t>
  </si>
  <si>
    <t>Replay zero-current operation, clipped current, missing Ia, invalid arcing reference and over-range waveform.</t>
  </si>
  <si>
    <t>Invalid data are not silently accumulated as valid wear. Device behavior is logged and any quality flag requirement is raised if absent.</t>
  </si>
  <si>
    <t>RST-01</t>
  </si>
  <si>
    <t>No-restrike baseline and single restrike.</t>
  </si>
  <si>
    <t>Replay one interruption with clean final extinction and one with a programmed post-extinction current reappearance. Repeat at several amplitudes/times.</t>
  </si>
  <si>
    <t>No-restrike case produces no flag; valid injected restrike produces the event flag according to algorithm settings.</t>
  </si>
  <si>
    <t>RST-02</t>
  </si>
  <si>
    <t>Multiple restrikes / re-ignitions.</t>
  </si>
  <si>
    <t>Replay two or more separated post-zero current bursts within the capture window.</t>
  </si>
  <si>
    <t>Restrike event is flagged and raw waveform retains all injected bursts.</t>
  </si>
  <si>
    <t>RST-03</t>
  </si>
  <si>
    <t>False-positive robustness.</t>
  </si>
  <si>
    <t>Replay CT ringing, low-level noise, harmonic distortion, narrow switching spikes and residual current without true restrike.</t>
  </si>
  <si>
    <t>No false flag at the approved engineering waveform set. Detection threshold and minimum duration are logged if not already specified.</t>
  </si>
  <si>
    <t>STO-01</t>
  </si>
  <si>
    <t>Create, view/export and verify event files.</t>
  </si>
  <si>
    <t>Generate 10 events of different types. Export each and correlate ID, timestamp, waveform, parameter values and source command.</t>
  </si>
  <si>
    <t>All events are present, readable and correctly associated with the injected sequence.</t>
  </si>
  <si>
    <t>STO-04</t>
  </si>
  <si>
    <t>Power loss during SD write.</t>
  </si>
  <si>
    <t>At least 50 times, remove DUT power at randomized delay 0-500 ms after event completion/record start.</t>
  </si>
  <si>
    <t>After reboot, file system remains usable; prior completed events/counters are intact; partially written event is handled deterministically and logged if applicable.</t>
  </si>
  <si>
    <t>STO-05</t>
  </si>
  <si>
    <t>Missing/removed/corrupt SD-card behavior.</t>
  </si>
  <si>
    <t>Boot without card, remove card when idle, simulate full/slow/corrupt media using engineering tools as safe.</t>
  </si>
  <si>
    <t>Device does not crash; storage fault is indicated/logged; real-time acquisition either continues or fails in a controlled documented manner.</t>
  </si>
  <si>
    <t>STO-06</t>
  </si>
  <si>
    <t>Deletion and retention.</t>
  </si>
  <si>
    <t>Delete selected events through supported interface, reboot, and verify remaining records.</t>
  </si>
  <si>
    <t>Only selected records are removed; configuration and counters remain intact. No deleted record reappears.</t>
  </si>
  <si>
    <t>COM-01</t>
  </si>
  <si>
    <t>Ethernet 10/100 link and reconnect.</t>
  </si>
  <si>
    <t>Connect through 10 Mbps and 100 Mbps capable switch, disconnect cable for 1 s/10 s/5 min and reconnect.</t>
  </si>
  <si>
    <t>Link recovers without reboot; acquisition continues; no event corruption.</t>
  </si>
  <si>
    <t>COM-02</t>
  </si>
  <si>
    <t>MQTT payload correctness.</t>
  </si>
  <si>
    <t>Publish live measurements and event data to test broker. Capture packets and compare values/timestamps to DUT event files.</t>
  </si>
  <si>
    <t>Published points match internal values and channel mapping. Topic/payload structure matches current functional definition.</t>
  </si>
  <si>
    <t>COM-03</t>
  </si>
  <si>
    <t>Broker unavailable and restart.</t>
  </si>
  <si>
    <t>Stop broker for 1, 10 and 60 min while generating events; restart broker.</t>
  </si>
  <si>
    <t>DUT remains responsive, no acquisition loss. Reconnect behavior is deterministic; any buffering/store-forward behavior is documented.</t>
  </si>
  <si>
    <t>COM-04</t>
  </si>
  <si>
    <t>Network congestion / high traffic.</t>
  </si>
  <si>
    <t>Generate sustained broadcast/unicast traffic on test LAN while triggering rapid events and exporting records.</t>
  </si>
  <si>
    <t>No missing samples, event loss or watchdog reset attributable to network load.</t>
  </si>
  <si>
    <t>COM-05</t>
  </si>
  <si>
    <t>Repeated connect/disconnect endurance.</t>
  </si>
  <si>
    <t>Perform 500 Ethernet or broker reconnect cycles during a 4 h automated event run.</t>
  </si>
  <si>
    <t>No progressive resource leak, hang or loss of measurement function.</t>
  </si>
  <si>
    <t>COM-06</t>
  </si>
  <si>
    <t>RS-485 basic functional link.</t>
  </si>
  <si>
    <t>Connect supported engineering master; verify communication at all implemented baud/parity settings.</t>
  </si>
  <si>
    <t>Correct responses and no acquisition interruption. Protocol/register details are recorded from the implemented build.</t>
  </si>
  <si>
    <t>COM-07</t>
  </si>
  <si>
    <t>RS-485 wiring/fault recovery.</t>
  </si>
  <si>
    <t>Reverse A/B, open line, add/remove termination and reconnect master.</t>
  </si>
  <si>
    <t>No damage or reboot. Link recovers after correct wiring is restored.</t>
  </si>
  <si>
    <t>UI-01</t>
  </si>
  <si>
    <t>Power LED indication.</t>
  </si>
  <si>
    <t>Cycle power and observe LED at off, boot and normal operation.</t>
  </si>
  <si>
    <t>Green when power/defined normal state is present; OFF when unpowered, consistent with specification.</t>
  </si>
  <si>
    <t>UI-02</t>
  </si>
  <si>
    <t>Status LED normal/error indication.</t>
  </si>
  <si>
    <t>Observe normal state, then inject supported storage/communication/sensor error conditions.</t>
  </si>
  <si>
    <t>Green normal; Red error when a qualifying fault is detected. Exact fault mapping is documented.</t>
  </si>
  <si>
    <t>UI-03</t>
  </si>
  <si>
    <t>Hard reset from idle and active event.</t>
  </si>
  <si>
    <t>Press reset during idle, event capture, SD write and MQTT session.</t>
  </si>
  <si>
    <t>Device reboots to a valid state. No persistent data corruption or unexplained counter change.</t>
  </si>
  <si>
    <t>UI-04</t>
  </si>
  <si>
    <t>I/O access and field-service usability.</t>
  </si>
  <si>
    <t>Install/remove field wires using intended terminal hardware; verify labels and tool clearance.</t>
  </si>
  <si>
    <t>All I/O can be safely accessed without removing unrelated wiring; no mechanical damage after repeated service cycles.</t>
  </si>
  <si>
    <t>DIAG-01</t>
  </si>
  <si>
    <t>Storage fault diagnostics.</t>
  </si>
  <si>
    <t>Remove/misconfigure SD card and generate events.</t>
  </si>
  <si>
    <t>Fault is detected and error is logged with useful context.</t>
  </si>
  <si>
    <t>DIAG-02</t>
  </si>
  <si>
    <t>Sensor/input fault diagnostics.</t>
  </si>
  <si>
    <t>Apply open/short/over-range analog conditions and contradictory DIs.</t>
  </si>
  <si>
    <t>Implemented diagnostics identify the fault without causing false operation count.</t>
  </si>
  <si>
    <t>DIAG-03</t>
  </si>
  <si>
    <t>Communication fault logging.</t>
  </si>
  <si>
    <t>Disconnect Ethernet/RS-485 and stop MQTT broker.</t>
  </si>
  <si>
    <t>Communication fault/recovery is logged if implemented; acquisition continues.</t>
  </si>
  <si>
    <t>DIAG-04</t>
  </si>
  <si>
    <t>Error-log retention and timestamp.</t>
  </si>
  <si>
    <t>Create at least 20 different faults, power cycle and review logs.</t>
  </si>
  <si>
    <t>Logs remain readable, ordered and time-correlated; no unrelated data corruption.</t>
  </si>
  <si>
    <t>ENV-01</t>
  </si>
  <si>
    <t>Cold functional operation.</t>
  </si>
  <si>
    <t>Condition prototype at available chamber steps toward -40 degC. At each stable point run baseline I/O accuracy, event and communications checks.</t>
  </si>
  <si>
    <t>No functional loss; measured drift remains within product accuracy requirements at the stated operating range. If chamber cannot reach -40 degC, record achieved limit.</t>
  </si>
  <si>
    <t>ENV-02</t>
  </si>
  <si>
    <t>Hot functional operation.</t>
  </si>
  <si>
    <t>Condition toward +70 degC and repeat baseline measurement/event/communications checks.</t>
  </si>
  <si>
    <t>No reset, storage fault or accuracy failure. Internal temperature/thermal observations recorded.</t>
  </si>
  <si>
    <t>ENV-03</t>
  </si>
  <si>
    <t>Temperature cycling engineering stress.</t>
  </si>
  <si>
    <t>Perform multiple room-cold-room-hot-room cycles within available chamber capability, with powered operation when safe.</t>
  </si>
  <si>
    <t>No connector/mechanical issue, calibration shift or data corruption. This is not standard qualification.</t>
  </si>
  <si>
    <t>ENV-04</t>
  </si>
  <si>
    <t>High-humidity functional check where available.</t>
  </si>
  <si>
    <t>Expose to a controlled non-condensing high-humidity condition within safe equipment capability; run reduced functional suite.</t>
  </si>
  <si>
    <t>No condensation, leakage-related malfunction or measurement instability. Formal 5-95% RH qualification remains third-party.</t>
  </si>
  <si>
    <t>END-01</t>
  </si>
  <si>
    <t>30-day powered stability recommendation.</t>
  </si>
  <si>
    <t>Operate continuously with all channels active, MQTT connected and periodic event generation. Daily automated health checks and weekly accuracy spot checks.</t>
  </si>
  <si>
    <t>No unplanned reset, memory leak symptom, storage corruption or progressive measurement drift beyond requirements.</t>
  </si>
  <si>
    <t>END-02</t>
  </si>
  <si>
    <t>High-cycle event endurance recommendation.</t>
  </si>
  <si>
    <t>Automate at least 10,000 mixed trip/close sequences and at least 1,000 motor cycles if schedule permits. Include 100-event storage rollover repeatedly.</t>
  </si>
  <si>
    <t>Counters match generated sequence, no event-management corruption, no increasing latency or missed triggers.</t>
  </si>
  <si>
    <t>END-03</t>
  </si>
  <si>
    <t>Repeated fault/restrike waveform endurance.</t>
  </si>
  <si>
    <t>Replay at least 1,000 fault-current events with varied arcing/restrike patterns over several days.</t>
  </si>
  <si>
    <t>Fault, arcing, wear and restrike calculations remain consistent; no cumulative algorithm/storage defect.</t>
  </si>
  <si>
    <t>INT-01</t>
  </si>
  <si>
    <t>Low product supply during trip</t>
  </si>
  <si>
    <t>Operate DUT at 21.6 VDC, apply low control-voltage condition, then trip event with normal TC1/52A.</t>
  </si>
  <si>
    <t>Trip event captured; timing/coil values within accuracy; voltage sag visible; no reset.</t>
  </si>
  <si>
    <t>INT-02</t>
  </si>
  <si>
    <t>Main trip fails, backup trip succeeds</t>
  </si>
  <si>
    <t>Main command + TC1 without 52A, followed by delayed backup command + TC2 + 52A.</t>
  </si>
  <si>
    <t>Backup operation identified; timing correct; one physical opening counted according to approved counter logic.</t>
  </si>
  <si>
    <t>INT-03</t>
  </si>
  <si>
    <t>High fault current with restrike</t>
  </si>
  <si>
    <t>Trip event with Ia fault waveform, known arcing interval and post-zero restrike.</t>
  </si>
  <si>
    <t>Fault current, arcing time, wear contribution and restrike flag all match reference.</t>
  </si>
  <si>
    <t>INT-04</t>
  </si>
  <si>
    <t>Power loss during fault-event storage</t>
  </si>
  <si>
    <t>Generate fault event and interrupt 24 VDC during SD write.</t>
  </si>
  <si>
    <t>Previous data intact; reboot valid; partially written event handled deterministically.</t>
  </si>
  <si>
    <t>INT-05</t>
  </si>
  <si>
    <t>Network congestion during breaker event</t>
  </si>
  <si>
    <t>Saturate test LAN while generating trip/close and motor event.</t>
  </si>
  <si>
    <t>No missed samples or event; MQTT may delay but acquisition remains correct.</t>
  </si>
  <si>
    <t>INT-06</t>
  </si>
  <si>
    <t>Contact bounce with noisy coil current</t>
  </si>
  <si>
    <t>Add DI bounce and analog noise to nominal trip.</t>
  </si>
  <si>
    <t>No double-count; timing remains within tolerance or is correctly flagged invalid.</t>
  </si>
  <si>
    <t>INT-07</t>
  </si>
  <si>
    <t>Incorrect CT polarity / scaling</t>
  </si>
  <si>
    <t>Reverse Ia polarity and apply wrong scaling configuration, then fault event.</t>
  </si>
  <si>
    <t>Raw waveform reflects polarity; no crash; configuration error is visible in data and does not corrupt other channels.</t>
  </si>
  <si>
    <t>INT-08</t>
  </si>
  <si>
    <t>Missing 52A during trip</t>
  </si>
  <si>
    <t>Trip command + TC1 + Ia but no 52A transition.</t>
  </si>
  <si>
    <t>No misleading valid timing/arcing result; event captures missing 52A condition.</t>
  </si>
  <si>
    <t>INT-09</t>
  </si>
  <si>
    <t>Contradictory 52A/52B states</t>
  </si>
  <si>
    <t>Force both ON during close/trip transitions.</t>
  </si>
  <si>
    <t>Raw status preserved; no double counter; diagnostic/quality behavior documented.</t>
  </si>
  <si>
    <t>INT-10</t>
  </si>
  <si>
    <t>Rapid open-close-open sequence</t>
  </si>
  <si>
    <t>Issue trip, close and trip with minimum practical separation.</t>
  </si>
  <si>
    <t>Each operation captured according to rearm rules; no merged/corrupt events.</t>
  </si>
  <si>
    <t>INT-11</t>
  </si>
  <si>
    <t>Motor start during storage rollover</t>
  </si>
  <si>
    <t>Trigger spring motor while event 101 overwrites oldest record.</t>
  </si>
  <si>
    <t>Motor event captured; circular storage remains consistent.</t>
  </si>
  <si>
    <t>INT-12</t>
  </si>
  <si>
    <t>Breaker event immediately after boot</t>
  </si>
  <si>
    <t>Trigger valid event at 0.5, 1, 2 and 5 s after power-up.</t>
  </si>
  <si>
    <t>Minimum reliable post-boot capture time characterized; no corrupted event.</t>
  </si>
  <si>
    <t>INT-13</t>
  </si>
  <si>
    <t>Sensor over-range plus network outage</t>
  </si>
  <si>
    <t>Over-range motor or coil input while broker is unavailable.</t>
  </si>
  <si>
    <t>No damage; local event/storage remains operational; communication recovery independent.</t>
  </si>
  <si>
    <t>INT-14</t>
  </si>
  <si>
    <t>Hard reset during active motor run</t>
  </si>
  <si>
    <t>Reset DUT mid-way through long motor waveform.</t>
  </si>
  <si>
    <t>Reboot controlled; counters/storage not corrupted; incomplete event handled deterministically.</t>
  </si>
  <si>
    <t>INT-15</t>
  </si>
  <si>
    <t>Low load followed by fault inception</t>
  </si>
  <si>
    <t>Operate at low 50/60 Hz load then inject asymmetrical fault at controlled inception angle.</t>
  </si>
  <si>
    <t>Transition captured; fault values within tolerance and pre-trigger includes pre-fault load.</t>
  </si>
  <si>
    <t>INT-16</t>
  </si>
  <si>
    <t>Chattering command/status wiring</t>
  </si>
  <si>
    <t>Generate repeated short Trip/Close pulses without valid coil current.</t>
  </si>
  <si>
    <t>No excessive operation counter increments or file flood beyond trigger design; raw data/logging supports diagnosis.</t>
  </si>
  <si>
    <t>INT-17</t>
  </si>
  <si>
    <t>All analog channels active + all DIs toggling</t>
  </si>
  <si>
    <t>Drive all channels dynamically with synchronized realistic signals for 30 min.</t>
  </si>
  <si>
    <t>No crosstalk, missed sample, watchdog reset or file corruption.</t>
  </si>
  <si>
    <t>INT-18</t>
  </si>
  <si>
    <t>Temperature extreme + minimum supply (optional)</t>
  </si>
  <si>
    <t>At cold/hot engineering chamber point, operate at 21.6 VDC and generate events.</t>
  </si>
  <si>
    <t>No functional loss; measurements remain within requirements.</t>
  </si>
  <si>
    <t>INT-19</t>
  </si>
  <si>
    <t>SD-card unavailable + breaker operations</t>
  </si>
  <si>
    <t>Remove/disable SD card, continue generating operations.</t>
  </si>
  <si>
    <t>Device remains stable; storage fault clear; core acquisition behavior documented; counters handled consistently.</t>
  </si>
  <si>
    <t>INT-20</t>
  </si>
  <si>
    <t>Site correlation with actual breaker (optional)</t>
  </si>
  <si>
    <t>Capture at least 10 open and 10 close operations on a safe breaker/test bay using production-intent sensors.</t>
  </si>
  <si>
    <t>Lab and site event signatures are qualitatively consistent; calculated timing/current values agree with independent breaker/test equipment within defined tolerances.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</si>
</sst>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Aptos Narrow"/>
    </font>
    <font>
      <b/>
      <sz val="11"/>
      <color rgb="FFFFFFFF"/>
      <name val="Aptos Narrow"/>
    </font>
    <font>
      <sz val="11"/>
      <color theme="1"/>
      <name val="Aptos Narrow"/>
      <family val="2"/>
    </font>
    <font>
      <sz val="11"/>
      <name val="Aptos Narrow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164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wrapText="1"/>
    </xf>
    <xf numFmtId="164" fontId="0" fillId="0" borderId="2" xfId="0" applyNumberForma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6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44546A"/>
      </font>
      <fill>
        <patternFill>
          <bgColor rgb="FFD9E1F2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arshitha  Malethodi" id="{33A5D434-3E27-4CD0-B9A0-440A2F0FEF24}" userId="S::harshitha.malethodi@logycent.com::4c86fa95-3da6-48d0-ae42-e0391095de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50" dT="2026-09-10T11:13:42.25" personId="{33A5D434-3E27-4CD0-B9A0-440A2F0FEF24}" id="{1F150C09-7054-45E1-8BAE-2ADCD0CEBF80}">
    <text xml:space="preserve">Hard reset not present in scematic
</text>
  </threadedComment>
  <threadedComment ref="B207" dT="2026-09-10T12:11:32.13" personId="{33A5D434-3E27-4CD0-B9A0-440A2F0FEF24}" id="{4B0F825E-BD69-47BA-A9ED-BD724BC0A90A}">
    <text>Power LED not present in schematic</text>
  </threadedComment>
  <threadedComment ref="B209" dT="2026-09-10T12:13:27.98" personId="{33A5D434-3E27-4CD0-B9A0-440A2F0FEF24}" id="{2C670C3B-75A4-4680-BCBA-A0B0B3E3F5FF}">
    <text>Hard reset not present in schematic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1"/>
  <sheetViews>
    <sheetView tabSelected="1" zoomScale="71" zoomScaleNormal="85" workbookViewId="0">
      <pane ySplit="1" topLeftCell="B100" activePane="bottomLeft" state="frozen"/>
      <selection pane="bottomLeft" activeCell="E102" sqref="E102"/>
    </sheetView>
  </sheetViews>
  <sheetFormatPr defaultRowHeight="14.45"/>
  <cols>
    <col min="1" max="1" width="12" customWidth="1"/>
    <col min="2" max="2" width="30" customWidth="1"/>
    <col min="3" max="3" width="8" customWidth="1"/>
    <col min="4" max="4" width="44" customWidth="1"/>
    <col min="5" max="6" width="14" customWidth="1"/>
    <col min="7" max="7" width="18" customWidth="1"/>
    <col min="8" max="10" width="14" customWidth="1"/>
    <col min="11" max="11" width="16" customWidth="1"/>
    <col min="12" max="12" width="12" customWidth="1"/>
    <col min="13" max="13" width="42" customWidth="1"/>
    <col min="14" max="14" width="20" customWidth="1"/>
    <col min="15" max="15" width="18" customWidth="1"/>
    <col min="16" max="16" width="13" customWidth="1"/>
    <col min="17" max="17" width="18" customWidth="1"/>
    <col min="18" max="18" width="10" customWidth="1"/>
    <col min="19" max="19" width="13" customWidth="1"/>
    <col min="20" max="20" width="30" customWidth="1"/>
  </cols>
  <sheetData>
    <row r="1" spans="1:20" ht="22.7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/>
      <c r="O1" s="3"/>
      <c r="P1" s="3"/>
      <c r="Q1" s="3"/>
      <c r="R1" s="3"/>
      <c r="S1" s="3"/>
      <c r="T1" s="3"/>
    </row>
    <row r="2" spans="1:20" ht="57.75">
      <c r="A2" s="5" t="s">
        <v>13</v>
      </c>
      <c r="B2" s="5" t="s">
        <v>14</v>
      </c>
      <c r="C2" s="6">
        <v>1</v>
      </c>
      <c r="D2" s="5" t="s">
        <v>15</v>
      </c>
      <c r="E2" s="7">
        <v>4</v>
      </c>
      <c r="F2" s="7" t="s">
        <v>16</v>
      </c>
      <c r="G2" s="7">
        <v>0</v>
      </c>
      <c r="H2" s="7" t="s">
        <v>17</v>
      </c>
      <c r="I2" s="7">
        <v>-0.25</v>
      </c>
      <c r="J2" s="7">
        <v>0.25</v>
      </c>
      <c r="K2" s="7">
        <v>0</v>
      </c>
      <c r="L2" s="6" t="str">
        <f t="shared" ref="L2:L75" si="0">IF(K2="","",IF(AND(ISNUMBER(I2),ISNUMBER(J2),ISNUMBER(K2)),IF(AND(K2&gt;=I2,K2&lt;=J2),"PASS","FAIL"),"REVIEW"))</f>
        <v>PASS</v>
      </c>
      <c r="M2" s="5" t="s">
        <v>18</v>
      </c>
      <c r="N2" s="1">
        <f>COUNTIF(L:L,"PASS")</f>
        <v>50</v>
      </c>
      <c r="O2" s="1"/>
      <c r="P2" s="1"/>
      <c r="Q2" s="1"/>
      <c r="R2" s="1"/>
      <c r="S2" s="1"/>
      <c r="T2" s="2"/>
    </row>
    <row r="3" spans="1:20" ht="57.75">
      <c r="A3" s="5" t="s">
        <v>13</v>
      </c>
      <c r="B3" s="5" t="s">
        <v>14</v>
      </c>
      <c r="C3" s="6">
        <v>2</v>
      </c>
      <c r="D3" s="5" t="s">
        <v>19</v>
      </c>
      <c r="E3" s="7">
        <v>8</v>
      </c>
      <c r="F3" s="7" t="s">
        <v>16</v>
      </c>
      <c r="G3" s="7">
        <v>12.5</v>
      </c>
      <c r="H3" s="7" t="s">
        <v>17</v>
      </c>
      <c r="I3" s="7">
        <v>12.25</v>
      </c>
      <c r="J3" s="7">
        <v>12.75</v>
      </c>
      <c r="K3" s="7">
        <v>12.38</v>
      </c>
      <c r="L3" s="6" t="str">
        <f t="shared" si="0"/>
        <v>PASS</v>
      </c>
      <c r="M3" s="5" t="s">
        <v>18</v>
      </c>
      <c r="N3" s="1"/>
      <c r="O3" s="1"/>
      <c r="P3" s="1"/>
      <c r="Q3" s="1"/>
      <c r="R3" s="1"/>
      <c r="S3" s="1"/>
      <c r="T3" s="2"/>
    </row>
    <row r="4" spans="1:20" ht="57.75">
      <c r="A4" s="5" t="s">
        <v>13</v>
      </c>
      <c r="B4" s="5" t="s">
        <v>14</v>
      </c>
      <c r="C4" s="6">
        <v>3</v>
      </c>
      <c r="D4" s="5" t="s">
        <v>20</v>
      </c>
      <c r="E4" s="7">
        <v>12</v>
      </c>
      <c r="F4" s="7" t="s">
        <v>16</v>
      </c>
      <c r="G4" s="7">
        <v>25</v>
      </c>
      <c r="H4" s="7" t="s">
        <v>17</v>
      </c>
      <c r="I4" s="7">
        <v>24.75</v>
      </c>
      <c r="J4" s="7">
        <v>25.25</v>
      </c>
      <c r="K4" s="7">
        <v>24.82</v>
      </c>
      <c r="L4" s="6" t="str">
        <f t="shared" si="0"/>
        <v>PASS</v>
      </c>
      <c r="M4" s="5" t="s">
        <v>18</v>
      </c>
      <c r="N4" s="1"/>
      <c r="O4" s="1"/>
      <c r="P4" s="1"/>
      <c r="Q4" s="1"/>
      <c r="R4" s="1"/>
      <c r="S4" s="1"/>
      <c r="T4" s="2"/>
    </row>
    <row r="5" spans="1:20" ht="57.75">
      <c r="A5" s="5" t="s">
        <v>13</v>
      </c>
      <c r="B5" s="5" t="s">
        <v>14</v>
      </c>
      <c r="C5" s="6">
        <v>4</v>
      </c>
      <c r="D5" s="5" t="s">
        <v>21</v>
      </c>
      <c r="E5" s="7">
        <v>16</v>
      </c>
      <c r="F5" s="7" t="s">
        <v>16</v>
      </c>
      <c r="G5" s="7">
        <v>37.5</v>
      </c>
      <c r="H5" s="7" t="s">
        <v>17</v>
      </c>
      <c r="I5" s="7">
        <v>37.25</v>
      </c>
      <c r="J5" s="7">
        <v>37.75</v>
      </c>
      <c r="K5" s="7">
        <v>37.26</v>
      </c>
      <c r="L5" s="6" t="str">
        <f t="shared" si="0"/>
        <v>PASS</v>
      </c>
      <c r="M5" s="5" t="s">
        <v>18</v>
      </c>
      <c r="N5" s="1"/>
      <c r="O5" s="1"/>
      <c r="P5" s="1"/>
      <c r="Q5" s="1"/>
      <c r="R5" s="1"/>
      <c r="S5" s="1"/>
      <c r="T5" s="2"/>
    </row>
    <row r="6" spans="1:20" ht="57.75">
      <c r="A6" s="5" t="s">
        <v>13</v>
      </c>
      <c r="B6" s="5" t="s">
        <v>14</v>
      </c>
      <c r="C6" s="6">
        <v>5</v>
      </c>
      <c r="D6" s="5" t="s">
        <v>22</v>
      </c>
      <c r="E6" s="7">
        <v>20</v>
      </c>
      <c r="F6" s="7" t="s">
        <v>16</v>
      </c>
      <c r="G6" s="7">
        <v>50</v>
      </c>
      <c r="H6" s="7" t="s">
        <v>17</v>
      </c>
      <c r="I6" s="7">
        <v>49.75</v>
      </c>
      <c r="J6" s="7">
        <v>50.25</v>
      </c>
      <c r="K6" s="7">
        <v>49.7</v>
      </c>
      <c r="L6" s="6" t="str">
        <f t="shared" si="0"/>
        <v>FAIL</v>
      </c>
      <c r="M6" s="5" t="s">
        <v>18</v>
      </c>
      <c r="N6" s="1"/>
      <c r="O6" s="1"/>
      <c r="P6" s="1"/>
      <c r="Q6" s="1"/>
      <c r="R6" s="1"/>
      <c r="S6" s="1"/>
      <c r="T6" s="2"/>
    </row>
    <row r="7" spans="1:20" ht="57.75">
      <c r="A7" s="5" t="s">
        <v>13</v>
      </c>
      <c r="B7" s="5" t="s">
        <v>23</v>
      </c>
      <c r="C7" s="6">
        <v>1</v>
      </c>
      <c r="D7" s="5" t="s">
        <v>15</v>
      </c>
      <c r="E7" s="7">
        <v>4</v>
      </c>
      <c r="F7" s="7" t="s">
        <v>16</v>
      </c>
      <c r="G7" s="7">
        <v>0</v>
      </c>
      <c r="H7" s="7" t="s">
        <v>17</v>
      </c>
      <c r="I7" s="7">
        <v>-0.25</v>
      </c>
      <c r="J7" s="7">
        <v>0.25</v>
      </c>
      <c r="K7" s="7">
        <v>0</v>
      </c>
      <c r="L7" s="6" t="str">
        <f>IF(K7="","",IF(AND(ISNUMBER(I7),ISNUMBER(J7),ISNUMBER(K7)),IF(AND(K7&gt;=I7,K7&lt;=J7),"PASS","FAIL"),"REVIEW"))</f>
        <v>PASS</v>
      </c>
      <c r="M7" s="5" t="s">
        <v>18</v>
      </c>
      <c r="N7" s="1"/>
      <c r="O7" s="1"/>
      <c r="P7" s="1"/>
      <c r="Q7" s="1"/>
      <c r="R7" s="1"/>
      <c r="S7" s="1"/>
      <c r="T7" s="2"/>
    </row>
    <row r="8" spans="1:20" ht="57.75">
      <c r="A8" s="5" t="s">
        <v>13</v>
      </c>
      <c r="B8" s="5" t="s">
        <v>23</v>
      </c>
      <c r="C8" s="6">
        <v>2</v>
      </c>
      <c r="D8" s="5" t="s">
        <v>19</v>
      </c>
      <c r="E8" s="7">
        <v>8</v>
      </c>
      <c r="F8" s="7" t="s">
        <v>16</v>
      </c>
      <c r="G8" s="7">
        <v>12.5</v>
      </c>
      <c r="H8" s="7" t="s">
        <v>17</v>
      </c>
      <c r="I8" s="7">
        <v>12.25</v>
      </c>
      <c r="J8" s="7">
        <v>12.75</v>
      </c>
      <c r="K8" s="7">
        <v>12.37</v>
      </c>
      <c r="L8" s="6" t="str">
        <f>IF(K8="","",IF(AND(ISNUMBER(I8),ISNUMBER(J8),ISNUMBER(K8)),IF(AND(K8&gt;=I8,K8&lt;=J8),"PASS","FAIL"),"REVIEW"))</f>
        <v>PASS</v>
      </c>
      <c r="M8" s="5" t="s">
        <v>18</v>
      </c>
      <c r="N8" s="1"/>
      <c r="O8" s="1"/>
      <c r="P8" s="1"/>
      <c r="Q8" s="1"/>
      <c r="R8" s="1"/>
      <c r="S8" s="1"/>
      <c r="T8" s="2"/>
    </row>
    <row r="9" spans="1:20" ht="57.75">
      <c r="A9" s="5" t="s">
        <v>13</v>
      </c>
      <c r="B9" s="5" t="s">
        <v>23</v>
      </c>
      <c r="C9" s="6">
        <v>3</v>
      </c>
      <c r="D9" s="5" t="s">
        <v>20</v>
      </c>
      <c r="E9" s="7">
        <v>12</v>
      </c>
      <c r="F9" s="7" t="s">
        <v>16</v>
      </c>
      <c r="G9" s="7">
        <v>25</v>
      </c>
      <c r="H9" s="7" t="s">
        <v>17</v>
      </c>
      <c r="I9" s="7">
        <v>24.75</v>
      </c>
      <c r="J9" s="7">
        <v>25.25</v>
      </c>
      <c r="K9" s="7">
        <v>24.81</v>
      </c>
      <c r="L9" s="6" t="str">
        <f>IF(K9="","",IF(AND(ISNUMBER(I9),ISNUMBER(J9),ISNUMBER(K9)),IF(AND(K9&gt;=I9,K9&lt;=J9),"PASS","FAIL"),"REVIEW"))</f>
        <v>PASS</v>
      </c>
      <c r="M9" s="5" t="s">
        <v>18</v>
      </c>
      <c r="N9" s="1"/>
      <c r="O9" s="1"/>
      <c r="P9" s="1"/>
      <c r="Q9" s="1"/>
      <c r="R9" s="1"/>
      <c r="S9" s="1"/>
      <c r="T9" s="2"/>
    </row>
    <row r="10" spans="1:20" ht="57.75">
      <c r="A10" s="5" t="s">
        <v>13</v>
      </c>
      <c r="B10" s="5" t="s">
        <v>23</v>
      </c>
      <c r="C10" s="6">
        <v>4</v>
      </c>
      <c r="D10" s="5" t="s">
        <v>21</v>
      </c>
      <c r="E10" s="7">
        <v>16</v>
      </c>
      <c r="F10" s="7" t="s">
        <v>16</v>
      </c>
      <c r="G10" s="7">
        <v>37.5</v>
      </c>
      <c r="H10" s="7" t="s">
        <v>17</v>
      </c>
      <c r="I10" s="7">
        <v>37.25</v>
      </c>
      <c r="J10" s="7">
        <v>37.75</v>
      </c>
      <c r="K10" s="7">
        <v>37.25</v>
      </c>
      <c r="L10" s="6" t="str">
        <f>IF(K10="","",IF(AND(ISNUMBER(I10),ISNUMBER(J10),ISNUMBER(K10)),IF(AND(K10&gt;=I10,K10&lt;=J10),"PASS","FAIL"),"REVIEW"))</f>
        <v>PASS</v>
      </c>
      <c r="M10" s="5" t="s">
        <v>18</v>
      </c>
      <c r="N10" s="1"/>
      <c r="O10" s="1"/>
      <c r="P10" s="1"/>
      <c r="Q10" s="1"/>
      <c r="R10" s="1"/>
      <c r="S10" s="1"/>
      <c r="T10" s="2"/>
    </row>
    <row r="11" spans="1:20" ht="57.75">
      <c r="A11" s="5" t="s">
        <v>13</v>
      </c>
      <c r="B11" s="5" t="s">
        <v>23</v>
      </c>
      <c r="C11" s="6">
        <v>5</v>
      </c>
      <c r="D11" s="5" t="s">
        <v>22</v>
      </c>
      <c r="E11" s="7">
        <v>20</v>
      </c>
      <c r="F11" s="7" t="s">
        <v>16</v>
      </c>
      <c r="G11" s="7">
        <v>50</v>
      </c>
      <c r="H11" s="7" t="s">
        <v>17</v>
      </c>
      <c r="I11" s="7">
        <v>49.75</v>
      </c>
      <c r="J11" s="7">
        <v>50.25</v>
      </c>
      <c r="K11" s="7">
        <v>49.68</v>
      </c>
      <c r="L11" s="6" t="str">
        <f>IF(K11="","",IF(AND(ISNUMBER(I11),ISNUMBER(J11),ISNUMBER(K11)),IF(AND(K11&gt;=I11,K11&lt;=J11),"PASS","FAIL"),"REVIEW"))</f>
        <v>FAIL</v>
      </c>
      <c r="M11" s="5" t="s">
        <v>18</v>
      </c>
      <c r="N11" s="1"/>
      <c r="O11" s="1"/>
      <c r="P11" s="1"/>
      <c r="Q11" s="1"/>
      <c r="R11" s="1"/>
      <c r="S11" s="1"/>
      <c r="T11" s="2"/>
    </row>
    <row r="12" spans="1:20" ht="57.75">
      <c r="A12" s="5" t="s">
        <v>13</v>
      </c>
      <c r="B12" s="5" t="s">
        <v>24</v>
      </c>
      <c r="C12" s="6">
        <v>1</v>
      </c>
      <c r="D12" s="5" t="s">
        <v>15</v>
      </c>
      <c r="E12" s="7">
        <v>4</v>
      </c>
      <c r="F12" s="7" t="s">
        <v>16</v>
      </c>
      <c r="G12" s="7">
        <v>0</v>
      </c>
      <c r="H12" s="7" t="s">
        <v>17</v>
      </c>
      <c r="I12" s="7">
        <v>-0.25</v>
      </c>
      <c r="J12" s="7">
        <v>0.25</v>
      </c>
      <c r="K12" s="7">
        <v>0</v>
      </c>
      <c r="L12" s="6" t="str">
        <f>IF(K12="","",IF(AND(ISNUMBER(I12),ISNUMBER(J12),ISNUMBER(K12)),IF(AND(K12&gt;=I12,K12&lt;=J12),"PASS","FAIL"),"REVIEW"))</f>
        <v>PASS</v>
      </c>
      <c r="M12" s="5" t="s">
        <v>18</v>
      </c>
      <c r="N12" s="1"/>
      <c r="O12" s="1"/>
      <c r="P12" s="1"/>
      <c r="Q12" s="1"/>
      <c r="R12" s="1"/>
      <c r="S12" s="1"/>
      <c r="T12" s="2"/>
    </row>
    <row r="13" spans="1:20" ht="57.75">
      <c r="A13" s="5" t="s">
        <v>13</v>
      </c>
      <c r="B13" s="5" t="s">
        <v>24</v>
      </c>
      <c r="C13" s="6">
        <v>2</v>
      </c>
      <c r="D13" s="5" t="s">
        <v>19</v>
      </c>
      <c r="E13" s="7">
        <v>8</v>
      </c>
      <c r="F13" s="7" t="s">
        <v>16</v>
      </c>
      <c r="G13" s="7">
        <v>12.5</v>
      </c>
      <c r="H13" s="7" t="s">
        <v>17</v>
      </c>
      <c r="I13" s="7">
        <v>12.25</v>
      </c>
      <c r="J13" s="7">
        <v>12.75</v>
      </c>
      <c r="K13" s="7">
        <v>12.38</v>
      </c>
      <c r="L13" s="6" t="str">
        <f>IF(K13="","",IF(AND(ISNUMBER(I13),ISNUMBER(J13),ISNUMBER(K13)),IF(AND(K13&gt;=I13,K13&lt;=J13),"PASS","FAIL"),"REVIEW"))</f>
        <v>PASS</v>
      </c>
      <c r="M13" s="5" t="s">
        <v>18</v>
      </c>
      <c r="N13" s="1"/>
      <c r="O13" s="1"/>
      <c r="P13" s="1"/>
      <c r="Q13" s="1"/>
      <c r="R13" s="1"/>
      <c r="S13" s="1"/>
      <c r="T13" s="2"/>
    </row>
    <row r="14" spans="1:20" ht="57.75">
      <c r="A14" s="5" t="s">
        <v>13</v>
      </c>
      <c r="B14" s="5" t="s">
        <v>24</v>
      </c>
      <c r="C14" s="6">
        <v>3</v>
      </c>
      <c r="D14" s="5" t="s">
        <v>20</v>
      </c>
      <c r="E14" s="7">
        <v>12</v>
      </c>
      <c r="F14" s="7" t="s">
        <v>16</v>
      </c>
      <c r="G14" s="7">
        <v>25</v>
      </c>
      <c r="H14" s="7" t="s">
        <v>17</v>
      </c>
      <c r="I14" s="7">
        <v>24.75</v>
      </c>
      <c r="J14" s="7">
        <v>25.25</v>
      </c>
      <c r="K14" s="7">
        <v>24.81</v>
      </c>
      <c r="L14" s="6" t="str">
        <f>IF(K14="","",IF(AND(ISNUMBER(I14),ISNUMBER(J14),ISNUMBER(K14)),IF(AND(K14&gt;=I14,K14&lt;=J14),"PASS","FAIL"),"REVIEW"))</f>
        <v>PASS</v>
      </c>
      <c r="M14" s="5" t="s">
        <v>18</v>
      </c>
      <c r="N14" s="1"/>
      <c r="O14" s="1"/>
      <c r="P14" s="1"/>
      <c r="Q14" s="1"/>
      <c r="R14" s="1"/>
      <c r="S14" s="1"/>
      <c r="T14" s="2"/>
    </row>
    <row r="15" spans="1:20" ht="57.75">
      <c r="A15" s="5" t="s">
        <v>13</v>
      </c>
      <c r="B15" s="5" t="s">
        <v>24</v>
      </c>
      <c r="C15" s="6">
        <v>4</v>
      </c>
      <c r="D15" s="5" t="s">
        <v>21</v>
      </c>
      <c r="E15" s="7">
        <v>16</v>
      </c>
      <c r="F15" s="7" t="s">
        <v>16</v>
      </c>
      <c r="G15" s="7">
        <v>37.5</v>
      </c>
      <c r="H15" s="7" t="s">
        <v>17</v>
      </c>
      <c r="I15" s="7">
        <v>37.25</v>
      </c>
      <c r="J15" s="7">
        <v>37.75</v>
      </c>
      <c r="K15" s="7">
        <v>37.25</v>
      </c>
      <c r="L15" s="6" t="str">
        <f>IF(K15="","",IF(AND(ISNUMBER(I15),ISNUMBER(J15),ISNUMBER(K15)),IF(AND(K15&gt;=I15,K15&lt;=J15),"PASS","FAIL"),"REVIEW"))</f>
        <v>PASS</v>
      </c>
      <c r="M15" s="5" t="s">
        <v>18</v>
      </c>
      <c r="N15" s="1"/>
      <c r="O15" s="1"/>
      <c r="P15" s="1"/>
      <c r="Q15" s="1"/>
      <c r="R15" s="1"/>
      <c r="S15" s="1"/>
      <c r="T15" s="2"/>
    </row>
    <row r="16" spans="1:20" ht="57.75">
      <c r="A16" s="5" t="s">
        <v>13</v>
      </c>
      <c r="B16" s="5" t="s">
        <v>24</v>
      </c>
      <c r="C16" s="6">
        <v>5</v>
      </c>
      <c r="D16" s="5" t="s">
        <v>22</v>
      </c>
      <c r="E16" s="7">
        <v>20</v>
      </c>
      <c r="F16" s="7" t="s">
        <v>16</v>
      </c>
      <c r="G16" s="7">
        <v>50</v>
      </c>
      <c r="H16" s="7" t="s">
        <v>17</v>
      </c>
      <c r="I16" s="7">
        <v>49.75</v>
      </c>
      <c r="J16" s="7">
        <v>50.25</v>
      </c>
      <c r="K16" s="7">
        <v>49.69</v>
      </c>
      <c r="L16" s="6" t="str">
        <f>IF(K16="","",IF(AND(ISNUMBER(I16),ISNUMBER(J16),ISNUMBER(K16)),IF(AND(K16&gt;=I16,K16&lt;=J16),"PASS","FAIL"),"REVIEW"))</f>
        <v>FAIL</v>
      </c>
      <c r="M16" s="5" t="s">
        <v>18</v>
      </c>
      <c r="N16" s="1"/>
      <c r="O16" s="1"/>
      <c r="P16" s="1"/>
      <c r="Q16" s="1"/>
      <c r="R16" s="1"/>
      <c r="S16" s="1"/>
      <c r="T16" s="2"/>
    </row>
    <row r="17" spans="1:20" ht="43.5">
      <c r="A17" s="12" t="s">
        <v>25</v>
      </c>
      <c r="B17" s="5" t="s">
        <v>26</v>
      </c>
      <c r="C17" s="6">
        <v>1</v>
      </c>
      <c r="D17" s="5" t="s">
        <v>27</v>
      </c>
      <c r="E17" s="7">
        <v>4</v>
      </c>
      <c r="F17" s="7" t="s">
        <v>16</v>
      </c>
      <c r="G17" s="7">
        <v>0</v>
      </c>
      <c r="H17" s="7" t="s">
        <v>17</v>
      </c>
      <c r="I17" s="7">
        <v>-1</v>
      </c>
      <c r="J17" s="7">
        <v>1</v>
      </c>
      <c r="K17" s="7">
        <v>0</v>
      </c>
      <c r="L17" s="6" t="str">
        <f t="shared" si="0"/>
        <v>PASS</v>
      </c>
      <c r="M17" s="5" t="s">
        <v>28</v>
      </c>
      <c r="N17" s="1"/>
      <c r="O17" s="1"/>
      <c r="P17" s="1"/>
      <c r="Q17" s="1"/>
      <c r="R17" s="1"/>
      <c r="S17" s="1"/>
      <c r="T17" s="2"/>
    </row>
    <row r="18" spans="1:20" ht="43.5">
      <c r="A18" s="12" t="s">
        <v>25</v>
      </c>
      <c r="B18" s="5" t="s">
        <v>26</v>
      </c>
      <c r="C18" s="6">
        <v>2</v>
      </c>
      <c r="D18" s="5" t="s">
        <v>29</v>
      </c>
      <c r="E18" s="7">
        <v>8</v>
      </c>
      <c r="F18" s="7" t="s">
        <v>16</v>
      </c>
      <c r="G18" s="7">
        <v>25</v>
      </c>
      <c r="H18" s="7" t="s">
        <v>17</v>
      </c>
      <c r="I18" s="7">
        <v>24</v>
      </c>
      <c r="J18" s="7">
        <v>26</v>
      </c>
      <c r="K18" s="7">
        <v>24.75</v>
      </c>
      <c r="L18" s="6" t="str">
        <f t="shared" si="0"/>
        <v>PASS</v>
      </c>
      <c r="M18" s="5" t="s">
        <v>28</v>
      </c>
      <c r="N18" s="1"/>
      <c r="O18" s="1"/>
      <c r="P18" s="1"/>
      <c r="Q18" s="1"/>
      <c r="R18" s="1"/>
      <c r="S18" s="1"/>
      <c r="T18" s="2"/>
    </row>
    <row r="19" spans="1:20" ht="43.5">
      <c r="A19" s="12" t="s">
        <v>25</v>
      </c>
      <c r="B19" s="5" t="s">
        <v>26</v>
      </c>
      <c r="C19" s="6">
        <v>3</v>
      </c>
      <c r="D19" s="5" t="s">
        <v>30</v>
      </c>
      <c r="E19" s="7">
        <v>12</v>
      </c>
      <c r="F19" s="7" t="s">
        <v>16</v>
      </c>
      <c r="G19" s="7">
        <v>50</v>
      </c>
      <c r="H19" s="7" t="s">
        <v>17</v>
      </c>
      <c r="I19" s="7">
        <v>49</v>
      </c>
      <c r="J19" s="7">
        <v>51</v>
      </c>
      <c r="K19" s="7">
        <v>49.62</v>
      </c>
      <c r="L19" s="6" t="str">
        <f t="shared" si="0"/>
        <v>PASS</v>
      </c>
      <c r="M19" s="5" t="s">
        <v>28</v>
      </c>
      <c r="N19" s="1"/>
      <c r="O19" s="1"/>
      <c r="P19" s="1"/>
      <c r="Q19" s="1"/>
      <c r="R19" s="1"/>
      <c r="S19" s="1"/>
      <c r="T19" s="2"/>
    </row>
    <row r="20" spans="1:20" ht="43.5">
      <c r="A20" s="12" t="s">
        <v>25</v>
      </c>
      <c r="B20" s="5" t="s">
        <v>26</v>
      </c>
      <c r="C20" s="6">
        <v>4</v>
      </c>
      <c r="D20" s="5" t="s">
        <v>31</v>
      </c>
      <c r="E20" s="7">
        <v>16</v>
      </c>
      <c r="F20" s="7" t="s">
        <v>16</v>
      </c>
      <c r="G20" s="7">
        <v>75</v>
      </c>
      <c r="H20" s="7" t="s">
        <v>17</v>
      </c>
      <c r="I20" s="7">
        <v>74</v>
      </c>
      <c r="J20" s="7">
        <v>76</v>
      </c>
      <c r="K20" s="7">
        <v>74.5</v>
      </c>
      <c r="L20" s="6" t="str">
        <f t="shared" si="0"/>
        <v>PASS</v>
      </c>
      <c r="M20" s="5" t="s">
        <v>28</v>
      </c>
      <c r="N20" s="1"/>
      <c r="O20" s="1"/>
      <c r="P20" s="1"/>
      <c r="Q20" s="1"/>
      <c r="R20" s="1"/>
      <c r="S20" s="1"/>
      <c r="T20" s="2"/>
    </row>
    <row r="21" spans="1:20" ht="43.5">
      <c r="A21" s="12" t="s">
        <v>25</v>
      </c>
      <c r="B21" s="5" t="s">
        <v>26</v>
      </c>
      <c r="C21" s="6">
        <v>5</v>
      </c>
      <c r="D21" s="5" t="s">
        <v>32</v>
      </c>
      <c r="E21" s="7">
        <v>20</v>
      </c>
      <c r="F21" s="7" t="s">
        <v>16</v>
      </c>
      <c r="G21" s="7">
        <v>100</v>
      </c>
      <c r="H21" s="7" t="s">
        <v>17</v>
      </c>
      <c r="I21" s="7">
        <v>99</v>
      </c>
      <c r="J21" s="7">
        <v>101</v>
      </c>
      <c r="K21" s="7">
        <v>99.38</v>
      </c>
      <c r="L21" s="6" t="str">
        <f t="shared" si="0"/>
        <v>PASS</v>
      </c>
      <c r="M21" s="5" t="s">
        <v>28</v>
      </c>
      <c r="N21" s="1"/>
      <c r="O21" s="1"/>
      <c r="P21" s="1"/>
      <c r="Q21" s="1"/>
      <c r="R21" s="1"/>
      <c r="S21" s="1"/>
      <c r="T21" s="2"/>
    </row>
    <row r="22" spans="1:20" ht="43.5">
      <c r="A22" s="12" t="s">
        <v>25</v>
      </c>
      <c r="B22" s="5" t="s">
        <v>26</v>
      </c>
      <c r="C22" s="6">
        <v>6</v>
      </c>
      <c r="D22" s="5" t="s">
        <v>33</v>
      </c>
      <c r="E22" s="7">
        <v>0</v>
      </c>
      <c r="F22" s="7" t="s">
        <v>34</v>
      </c>
      <c r="G22" s="7">
        <v>0</v>
      </c>
      <c r="H22" s="7" t="s">
        <v>17</v>
      </c>
      <c r="I22" s="7">
        <v>-1</v>
      </c>
      <c r="J22" s="7">
        <v>1</v>
      </c>
      <c r="K22" s="7">
        <v>7.0000000000000001E-3</v>
      </c>
      <c r="L22" s="6" t="str">
        <f t="shared" si="0"/>
        <v>PASS</v>
      </c>
      <c r="M22" s="5" t="s">
        <v>28</v>
      </c>
      <c r="N22" s="1"/>
      <c r="O22" s="1"/>
      <c r="P22" s="1"/>
      <c r="Q22" s="1"/>
      <c r="R22" s="1"/>
      <c r="S22" s="1"/>
      <c r="T22" s="2"/>
    </row>
    <row r="23" spans="1:20" ht="43.5">
      <c r="A23" s="12" t="s">
        <v>25</v>
      </c>
      <c r="B23" s="5" t="s">
        <v>26</v>
      </c>
      <c r="C23" s="6">
        <v>7</v>
      </c>
      <c r="D23" s="5" t="s">
        <v>35</v>
      </c>
      <c r="E23" s="7">
        <v>83.25</v>
      </c>
      <c r="F23" s="7" t="s">
        <v>34</v>
      </c>
      <c r="G23" s="7">
        <v>25</v>
      </c>
      <c r="H23" s="7" t="s">
        <v>17</v>
      </c>
      <c r="I23" s="7">
        <v>24</v>
      </c>
      <c r="J23" s="7">
        <v>26</v>
      </c>
      <c r="K23" s="7">
        <v>24.98</v>
      </c>
      <c r="L23" s="6" t="str">
        <f t="shared" si="0"/>
        <v>PASS</v>
      </c>
      <c r="M23" s="5" t="s">
        <v>28</v>
      </c>
      <c r="N23" s="1"/>
      <c r="O23" s="1"/>
      <c r="P23" s="1"/>
      <c r="Q23" s="1"/>
      <c r="R23" s="1"/>
      <c r="S23" s="1"/>
      <c r="T23" s="2"/>
    </row>
    <row r="24" spans="1:20" ht="43.5">
      <c r="A24" s="12" t="s">
        <v>25</v>
      </c>
      <c r="B24" s="5" t="s">
        <v>26</v>
      </c>
      <c r="C24" s="6">
        <v>8</v>
      </c>
      <c r="D24" s="5" t="s">
        <v>36</v>
      </c>
      <c r="E24" s="7">
        <v>166.5</v>
      </c>
      <c r="F24" s="7" t="s">
        <v>34</v>
      </c>
      <c r="G24" s="7">
        <v>50</v>
      </c>
      <c r="H24" s="7" t="s">
        <v>17</v>
      </c>
      <c r="I24" s="7">
        <v>49</v>
      </c>
      <c r="J24" s="7">
        <v>51</v>
      </c>
      <c r="K24" s="7">
        <v>49.97</v>
      </c>
      <c r="L24" s="6" t="str">
        <f t="shared" si="0"/>
        <v>PASS</v>
      </c>
      <c r="M24" s="5" t="s">
        <v>28</v>
      </c>
      <c r="N24" s="1"/>
      <c r="O24" s="1"/>
      <c r="P24" s="1"/>
      <c r="Q24" s="1"/>
      <c r="R24" s="1"/>
      <c r="S24" s="1"/>
      <c r="T24" s="2"/>
    </row>
    <row r="25" spans="1:20" ht="43.5">
      <c r="A25" s="12" t="s">
        <v>25</v>
      </c>
      <c r="B25" s="5" t="s">
        <v>26</v>
      </c>
      <c r="C25" s="6">
        <v>9</v>
      </c>
      <c r="D25" s="5" t="s">
        <v>37</v>
      </c>
      <c r="E25" s="7">
        <v>249.75</v>
      </c>
      <c r="F25" s="7" t="s">
        <v>34</v>
      </c>
      <c r="G25" s="7">
        <v>75</v>
      </c>
      <c r="H25" s="7" t="s">
        <v>17</v>
      </c>
      <c r="I25" s="7">
        <v>74</v>
      </c>
      <c r="J25" s="7">
        <v>76</v>
      </c>
      <c r="K25" s="7">
        <v>74.97</v>
      </c>
      <c r="L25" s="6" t="str">
        <f t="shared" si="0"/>
        <v>PASS</v>
      </c>
      <c r="M25" s="5" t="s">
        <v>28</v>
      </c>
      <c r="N25" s="1"/>
      <c r="O25" s="1"/>
      <c r="P25" s="1"/>
      <c r="Q25" s="1"/>
      <c r="R25" s="1"/>
      <c r="S25" s="1"/>
      <c r="T25" s="2"/>
    </row>
    <row r="26" spans="1:20" ht="43.5">
      <c r="A26" s="12" t="s">
        <v>25</v>
      </c>
      <c r="B26" s="5" t="s">
        <v>26</v>
      </c>
      <c r="C26" s="6">
        <v>10</v>
      </c>
      <c r="D26" s="5" t="s">
        <v>38</v>
      </c>
      <c r="E26" s="7">
        <v>333</v>
      </c>
      <c r="F26" s="7" t="s">
        <v>34</v>
      </c>
      <c r="G26" s="7">
        <v>100</v>
      </c>
      <c r="H26" s="7" t="s">
        <v>17</v>
      </c>
      <c r="I26" s="7">
        <v>99</v>
      </c>
      <c r="J26" s="7">
        <v>101</v>
      </c>
      <c r="K26" s="7">
        <v>99.97</v>
      </c>
      <c r="L26" s="6" t="str">
        <f t="shared" si="0"/>
        <v>PASS</v>
      </c>
      <c r="M26" s="5" t="s">
        <v>28</v>
      </c>
      <c r="N26" s="1"/>
      <c r="O26" s="1"/>
      <c r="P26" s="1"/>
      <c r="Q26" s="1"/>
      <c r="R26" s="1"/>
      <c r="S26" s="1"/>
      <c r="T26" s="2"/>
    </row>
    <row r="27" spans="1:20" ht="43.5">
      <c r="A27" s="12" t="s">
        <v>39</v>
      </c>
      <c r="B27" s="5" t="s">
        <v>40</v>
      </c>
      <c r="C27" s="6">
        <v>1</v>
      </c>
      <c r="D27" s="5" t="s">
        <v>41</v>
      </c>
      <c r="E27" s="7">
        <v>33.299999999999997</v>
      </c>
      <c r="F27" s="7" t="s">
        <v>42</v>
      </c>
      <c r="G27" s="7">
        <v>2</v>
      </c>
      <c r="H27" s="7" t="s">
        <v>43</v>
      </c>
      <c r="I27" s="7">
        <v>1.8</v>
      </c>
      <c r="J27" s="7">
        <v>2.2000000000000002</v>
      </c>
      <c r="K27" s="7">
        <v>1.998</v>
      </c>
      <c r="L27" s="6" t="str">
        <f t="shared" si="0"/>
        <v>PASS</v>
      </c>
      <c r="M27" s="5" t="s">
        <v>44</v>
      </c>
      <c r="N27" s="1"/>
      <c r="O27" s="1"/>
      <c r="P27" s="1"/>
      <c r="Q27" s="1"/>
      <c r="R27" s="1"/>
      <c r="S27" s="1"/>
      <c r="T27" s="2"/>
    </row>
    <row r="28" spans="1:20" ht="43.5">
      <c r="A28" s="12" t="s">
        <v>39</v>
      </c>
      <c r="B28" s="5" t="s">
        <v>40</v>
      </c>
      <c r="C28" s="6">
        <v>2</v>
      </c>
      <c r="D28" s="5" t="s">
        <v>45</v>
      </c>
      <c r="E28" s="7">
        <v>83.25</v>
      </c>
      <c r="F28" s="7" t="s">
        <v>42</v>
      </c>
      <c r="G28" s="7">
        <v>5</v>
      </c>
      <c r="H28" s="7" t="s">
        <v>43</v>
      </c>
      <c r="I28" s="7">
        <v>4.8</v>
      </c>
      <c r="J28" s="7">
        <v>5.2</v>
      </c>
      <c r="K28" s="7">
        <v>4.9960000000000004</v>
      </c>
      <c r="L28" s="6" t="str">
        <f t="shared" si="0"/>
        <v>PASS</v>
      </c>
      <c r="M28" s="5" t="s">
        <v>44</v>
      </c>
      <c r="N28" s="1"/>
      <c r="O28" s="1"/>
      <c r="P28" s="1"/>
      <c r="Q28" s="1"/>
      <c r="R28" s="1"/>
      <c r="S28" s="1"/>
      <c r="T28" s="2"/>
    </row>
    <row r="29" spans="1:20" ht="43.5">
      <c r="A29" s="12" t="s">
        <v>39</v>
      </c>
      <c r="B29" s="11" t="s">
        <v>40</v>
      </c>
      <c r="C29" s="6">
        <v>3</v>
      </c>
      <c r="D29" s="5" t="s">
        <v>46</v>
      </c>
      <c r="E29" s="7">
        <v>166.5</v>
      </c>
      <c r="F29" s="7" t="s">
        <v>42</v>
      </c>
      <c r="G29" s="7">
        <v>10</v>
      </c>
      <c r="H29" s="7" t="s">
        <v>43</v>
      </c>
      <c r="I29" s="7">
        <v>9.8000000000000007</v>
      </c>
      <c r="J29" s="7">
        <v>10.199999999999999</v>
      </c>
      <c r="K29" s="7">
        <v>9.9939999999999998</v>
      </c>
      <c r="L29" s="6" t="str">
        <f t="shared" si="0"/>
        <v>PASS</v>
      </c>
      <c r="M29" s="5" t="s">
        <v>44</v>
      </c>
      <c r="N29" s="1"/>
      <c r="O29" s="1"/>
      <c r="P29" s="1"/>
      <c r="Q29" s="1"/>
      <c r="R29" s="1"/>
      <c r="S29" s="1"/>
      <c r="T29" s="2"/>
    </row>
    <row r="30" spans="1:20" ht="43.5">
      <c r="A30" s="12" t="s">
        <v>39</v>
      </c>
      <c r="B30" s="5" t="s">
        <v>40</v>
      </c>
      <c r="C30" s="6">
        <v>4</v>
      </c>
      <c r="D30" s="5" t="s">
        <v>47</v>
      </c>
      <c r="E30" s="7">
        <v>249.75</v>
      </c>
      <c r="F30" s="7" t="s">
        <v>42</v>
      </c>
      <c r="G30" s="7">
        <v>15</v>
      </c>
      <c r="H30" s="7" t="s">
        <v>43</v>
      </c>
      <c r="I30" s="7">
        <v>14.8</v>
      </c>
      <c r="J30" s="7">
        <v>15.2</v>
      </c>
      <c r="K30" s="7">
        <v>14.99</v>
      </c>
      <c r="L30" s="6" t="str">
        <f t="shared" si="0"/>
        <v>PASS</v>
      </c>
      <c r="M30" s="5" t="s">
        <v>44</v>
      </c>
      <c r="N30" s="1"/>
      <c r="O30" s="1"/>
      <c r="P30" s="1"/>
      <c r="Q30" s="1"/>
      <c r="R30" s="1"/>
      <c r="S30" s="1"/>
      <c r="T30" s="2"/>
    </row>
    <row r="31" spans="1:20" ht="43.5">
      <c r="A31" s="12" t="s">
        <v>39</v>
      </c>
      <c r="B31" s="5" t="s">
        <v>40</v>
      </c>
      <c r="C31" s="6">
        <v>5</v>
      </c>
      <c r="D31" s="5" t="s">
        <v>48</v>
      </c>
      <c r="E31" s="7">
        <v>333</v>
      </c>
      <c r="F31" s="7" t="s">
        <v>42</v>
      </c>
      <c r="G31" s="7">
        <v>20</v>
      </c>
      <c r="H31" s="7" t="s">
        <v>43</v>
      </c>
      <c r="I31" s="7">
        <v>19.8</v>
      </c>
      <c r="J31" s="7">
        <v>20.2</v>
      </c>
      <c r="K31" s="7">
        <v>19.989999999999998</v>
      </c>
      <c r="L31" s="6" t="str">
        <f t="shared" si="0"/>
        <v>PASS</v>
      </c>
      <c r="M31" s="5" t="s">
        <v>44</v>
      </c>
      <c r="N31" s="1"/>
      <c r="O31" s="1"/>
      <c r="P31" s="1"/>
      <c r="Q31" s="1"/>
      <c r="R31" s="1"/>
      <c r="S31" s="1"/>
      <c r="T31" s="2"/>
    </row>
    <row r="32" spans="1:20" ht="43.5">
      <c r="A32" s="12" t="s">
        <v>39</v>
      </c>
      <c r="B32" s="5" t="s">
        <v>40</v>
      </c>
      <c r="C32" s="6">
        <v>6</v>
      </c>
      <c r="D32" s="5" t="s">
        <v>49</v>
      </c>
      <c r="E32" s="7">
        <v>33.299999999999997</v>
      </c>
      <c r="F32" s="7" t="s">
        <v>42</v>
      </c>
      <c r="G32" s="7">
        <v>2</v>
      </c>
      <c r="H32" s="7" t="s">
        <v>43</v>
      </c>
      <c r="I32" s="7">
        <v>1.8</v>
      </c>
      <c r="J32" s="7">
        <v>2.2000000000000002</v>
      </c>
      <c r="K32" s="7">
        <v>1.998</v>
      </c>
      <c r="L32" s="6" t="str">
        <f t="shared" si="0"/>
        <v>PASS</v>
      </c>
      <c r="M32" s="5" t="s">
        <v>44</v>
      </c>
      <c r="N32" s="1"/>
      <c r="O32" s="1"/>
      <c r="P32" s="1"/>
      <c r="Q32" s="1"/>
      <c r="R32" s="1"/>
      <c r="S32" s="1"/>
      <c r="T32" s="2"/>
    </row>
    <row r="33" spans="1:20" ht="43.5">
      <c r="A33" s="12" t="s">
        <v>39</v>
      </c>
      <c r="B33" s="5" t="s">
        <v>40</v>
      </c>
      <c r="C33" s="6">
        <v>7</v>
      </c>
      <c r="D33" s="5" t="s">
        <v>50</v>
      </c>
      <c r="E33" s="7">
        <v>83.25</v>
      </c>
      <c r="F33" s="7" t="s">
        <v>42</v>
      </c>
      <c r="G33" s="7">
        <v>5</v>
      </c>
      <c r="H33" s="7" t="s">
        <v>43</v>
      </c>
      <c r="I33" s="7">
        <v>4.8</v>
      </c>
      <c r="J33" s="7">
        <v>5.2</v>
      </c>
      <c r="K33" s="7">
        <v>4.9930000000000003</v>
      </c>
      <c r="L33" s="6" t="str">
        <f t="shared" si="0"/>
        <v>PASS</v>
      </c>
      <c r="M33" s="5" t="s">
        <v>44</v>
      </c>
      <c r="N33" s="1"/>
      <c r="O33" s="1"/>
      <c r="P33" s="1"/>
      <c r="Q33" s="1"/>
      <c r="R33" s="1"/>
      <c r="S33" s="1"/>
      <c r="T33" s="2"/>
    </row>
    <row r="34" spans="1:20" ht="43.5">
      <c r="A34" s="12" t="s">
        <v>39</v>
      </c>
      <c r="B34" s="5" t="s">
        <v>40</v>
      </c>
      <c r="C34" s="6">
        <v>8</v>
      </c>
      <c r="D34" s="5" t="s">
        <v>51</v>
      </c>
      <c r="E34" s="7">
        <v>166.5</v>
      </c>
      <c r="F34" s="7" t="s">
        <v>42</v>
      </c>
      <c r="G34" s="7">
        <v>10</v>
      </c>
      <c r="H34" s="7" t="s">
        <v>43</v>
      </c>
      <c r="I34" s="7">
        <v>9.8000000000000007</v>
      </c>
      <c r="J34" s="7">
        <v>10.199999999999999</v>
      </c>
      <c r="K34" s="7">
        <v>9.9969999999999999</v>
      </c>
      <c r="L34" s="6" t="str">
        <f t="shared" si="0"/>
        <v>PASS</v>
      </c>
      <c r="M34" s="5" t="s">
        <v>44</v>
      </c>
      <c r="N34" s="1"/>
      <c r="O34" s="1"/>
      <c r="P34" s="1"/>
      <c r="Q34" s="1"/>
      <c r="R34" s="1"/>
      <c r="S34" s="1"/>
      <c r="T34" s="2"/>
    </row>
    <row r="35" spans="1:20" ht="43.5">
      <c r="A35" s="12" t="s">
        <v>39</v>
      </c>
      <c r="B35" s="5" t="s">
        <v>40</v>
      </c>
      <c r="C35" s="6">
        <v>9</v>
      </c>
      <c r="D35" s="5" t="s">
        <v>52</v>
      </c>
      <c r="E35" s="7">
        <v>249.75</v>
      </c>
      <c r="F35" s="7" t="s">
        <v>42</v>
      </c>
      <c r="G35" s="7">
        <v>15</v>
      </c>
      <c r="H35" s="7" t="s">
        <v>43</v>
      </c>
      <c r="I35" s="7">
        <v>14.8</v>
      </c>
      <c r="J35" s="7">
        <v>15.2</v>
      </c>
      <c r="K35" s="7">
        <v>15</v>
      </c>
      <c r="L35" s="6" t="str">
        <f t="shared" si="0"/>
        <v>PASS</v>
      </c>
      <c r="M35" s="5" t="s">
        <v>44</v>
      </c>
      <c r="N35" s="1"/>
      <c r="O35" s="1"/>
      <c r="P35" s="1"/>
      <c r="Q35" s="1"/>
      <c r="R35" s="1"/>
      <c r="S35" s="1"/>
      <c r="T35" s="2"/>
    </row>
    <row r="36" spans="1:20" ht="43.5">
      <c r="A36" s="12" t="s">
        <v>39</v>
      </c>
      <c r="B36" s="5" t="s">
        <v>40</v>
      </c>
      <c r="C36" s="6">
        <v>10</v>
      </c>
      <c r="D36" s="5" t="s">
        <v>53</v>
      </c>
      <c r="E36" s="7">
        <v>333</v>
      </c>
      <c r="F36" s="7" t="s">
        <v>42</v>
      </c>
      <c r="G36" s="7">
        <v>20</v>
      </c>
      <c r="H36" s="7" t="s">
        <v>43</v>
      </c>
      <c r="I36" s="7">
        <v>19.8</v>
      </c>
      <c r="J36" s="7">
        <v>20.2</v>
      </c>
      <c r="K36" s="7">
        <v>20</v>
      </c>
      <c r="L36" s="6" t="str">
        <f t="shared" si="0"/>
        <v>PASS</v>
      </c>
      <c r="M36" s="5" t="s">
        <v>44</v>
      </c>
      <c r="N36" s="1"/>
      <c r="O36" s="1"/>
      <c r="P36" s="1"/>
      <c r="Q36" s="1"/>
      <c r="R36" s="1"/>
      <c r="S36" s="1"/>
      <c r="T36" s="2"/>
    </row>
    <row r="37" spans="1:20" ht="29.25">
      <c r="A37" s="12" t="s">
        <v>54</v>
      </c>
      <c r="B37" s="5" t="s">
        <v>55</v>
      </c>
      <c r="C37" s="6">
        <v>1</v>
      </c>
      <c r="D37" s="5" t="s">
        <v>56</v>
      </c>
      <c r="E37" s="7">
        <v>0</v>
      </c>
      <c r="F37" s="7" t="s">
        <v>57</v>
      </c>
      <c r="G37" s="7">
        <v>0</v>
      </c>
      <c r="H37" s="7" t="s">
        <v>57</v>
      </c>
      <c r="I37" s="7">
        <v>-0.75</v>
      </c>
      <c r="J37" s="7">
        <v>0.75</v>
      </c>
      <c r="K37" s="7">
        <v>1.4999999999999999E-2</v>
      </c>
      <c r="L37" s="6" t="str">
        <f t="shared" si="0"/>
        <v>PASS</v>
      </c>
      <c r="M37" s="5" t="s">
        <v>58</v>
      </c>
      <c r="N37" s="1"/>
      <c r="O37" s="1"/>
      <c r="P37" s="1"/>
      <c r="Q37" s="1"/>
      <c r="R37" s="1"/>
      <c r="S37" s="1"/>
      <c r="T37" s="2"/>
    </row>
    <row r="38" spans="1:20" ht="29.25">
      <c r="A38" s="12" t="s">
        <v>54</v>
      </c>
      <c r="B38" s="5" t="s">
        <v>55</v>
      </c>
      <c r="C38" s="6">
        <v>2</v>
      </c>
      <c r="D38" s="5" t="s">
        <v>59</v>
      </c>
      <c r="E38" s="7">
        <v>15</v>
      </c>
      <c r="F38" s="7" t="s">
        <v>57</v>
      </c>
      <c r="G38" s="7">
        <v>15</v>
      </c>
      <c r="H38" s="7" t="s">
        <v>57</v>
      </c>
      <c r="I38" s="7">
        <v>14.25</v>
      </c>
      <c r="J38" s="7">
        <v>15.75</v>
      </c>
      <c r="K38" s="7">
        <v>15.04</v>
      </c>
      <c r="L38" s="6" t="str">
        <f t="shared" si="0"/>
        <v>PASS</v>
      </c>
      <c r="M38" s="5" t="s">
        <v>58</v>
      </c>
      <c r="N38" s="1"/>
      <c r="O38" s="1"/>
      <c r="P38" s="1"/>
      <c r="Q38" s="1"/>
      <c r="R38" s="1"/>
      <c r="S38" s="1"/>
      <c r="T38" s="2"/>
    </row>
    <row r="39" spans="1:20" ht="29.25">
      <c r="A39" s="12" t="s">
        <v>54</v>
      </c>
      <c r="B39" s="5" t="s">
        <v>55</v>
      </c>
      <c r="C39" s="6">
        <v>3</v>
      </c>
      <c r="D39" s="5" t="s">
        <v>60</v>
      </c>
      <c r="E39" s="7">
        <v>37.5</v>
      </c>
      <c r="F39" s="7" t="s">
        <v>57</v>
      </c>
      <c r="G39" s="7">
        <v>37.5</v>
      </c>
      <c r="H39" s="7" t="s">
        <v>57</v>
      </c>
      <c r="I39" s="7">
        <v>36.75</v>
      </c>
      <c r="J39" s="7">
        <v>38.25</v>
      </c>
      <c r="K39" s="7">
        <v>37.54</v>
      </c>
      <c r="L39" s="6" t="str">
        <f t="shared" si="0"/>
        <v>PASS</v>
      </c>
      <c r="M39" s="5" t="s">
        <v>58</v>
      </c>
      <c r="N39" s="1"/>
      <c r="O39" s="1"/>
      <c r="P39" s="1"/>
      <c r="Q39" s="1"/>
      <c r="R39" s="1"/>
      <c r="S39" s="1"/>
      <c r="T39" s="2"/>
    </row>
    <row r="40" spans="1:20" ht="29.25">
      <c r="A40" s="12" t="s">
        <v>54</v>
      </c>
      <c r="B40" s="5" t="s">
        <v>55</v>
      </c>
      <c r="C40" s="6">
        <v>4</v>
      </c>
      <c r="D40" s="5" t="s">
        <v>61</v>
      </c>
      <c r="E40" s="7">
        <v>75</v>
      </c>
      <c r="F40" s="7" t="s">
        <v>57</v>
      </c>
      <c r="G40" s="7">
        <v>75</v>
      </c>
      <c r="H40" s="7" t="s">
        <v>57</v>
      </c>
      <c r="I40" s="7">
        <v>74.25</v>
      </c>
      <c r="J40" s="7">
        <v>75.75</v>
      </c>
      <c r="K40" s="7">
        <v>75.08</v>
      </c>
      <c r="L40" s="6" t="str">
        <f t="shared" si="0"/>
        <v>PASS</v>
      </c>
      <c r="M40" s="5" t="s">
        <v>58</v>
      </c>
      <c r="N40" s="1"/>
      <c r="O40" s="1"/>
      <c r="P40" s="1"/>
      <c r="Q40" s="1"/>
      <c r="R40" s="1"/>
      <c r="S40" s="1"/>
      <c r="T40" s="2"/>
    </row>
    <row r="41" spans="1:20" ht="29.25">
      <c r="A41" s="12" t="s">
        <v>54</v>
      </c>
      <c r="B41" s="5" t="s">
        <v>55</v>
      </c>
      <c r="C41" s="6">
        <v>5</v>
      </c>
      <c r="D41" s="5" t="s">
        <v>62</v>
      </c>
      <c r="E41" s="7">
        <v>112.5</v>
      </c>
      <c r="F41" s="7" t="s">
        <v>57</v>
      </c>
      <c r="G41" s="7">
        <v>112.5</v>
      </c>
      <c r="H41" s="7" t="s">
        <v>57</v>
      </c>
      <c r="I41" s="7">
        <v>111.75</v>
      </c>
      <c r="J41" s="7">
        <v>113.25</v>
      </c>
      <c r="K41" s="7">
        <v>112.62</v>
      </c>
      <c r="L41" s="6" t="str">
        <f t="shared" si="0"/>
        <v>PASS</v>
      </c>
      <c r="M41" s="5" t="s">
        <v>58</v>
      </c>
      <c r="N41" s="1"/>
      <c r="O41" s="1"/>
      <c r="P41" s="1"/>
      <c r="Q41" s="1"/>
      <c r="R41" s="1"/>
      <c r="S41" s="1"/>
      <c r="T41" s="2"/>
    </row>
    <row r="42" spans="1:20" ht="29.25">
      <c r="A42" s="12" t="s">
        <v>54</v>
      </c>
      <c r="B42" s="5" t="s">
        <v>55</v>
      </c>
      <c r="C42" s="6">
        <v>6</v>
      </c>
      <c r="D42" s="5" t="s">
        <v>63</v>
      </c>
      <c r="E42" s="7">
        <v>150</v>
      </c>
      <c r="F42" s="7" t="s">
        <v>57</v>
      </c>
      <c r="G42" s="7">
        <v>150</v>
      </c>
      <c r="H42" s="7" t="s">
        <v>57</v>
      </c>
      <c r="I42" s="7">
        <v>149.25</v>
      </c>
      <c r="J42" s="7">
        <v>150.75</v>
      </c>
      <c r="K42" s="7">
        <v>150.51</v>
      </c>
      <c r="L42" s="6" t="str">
        <f t="shared" si="0"/>
        <v>PASS</v>
      </c>
      <c r="M42" s="5" t="s">
        <v>58</v>
      </c>
      <c r="N42" s="1"/>
      <c r="O42" s="1"/>
      <c r="P42" s="1"/>
      <c r="Q42" s="1"/>
      <c r="R42" s="1"/>
      <c r="S42" s="1"/>
      <c r="T42" s="2"/>
    </row>
    <row r="43" spans="1:20" ht="43.5">
      <c r="A43" s="12" t="s">
        <v>64</v>
      </c>
      <c r="B43" s="5" t="s">
        <v>65</v>
      </c>
      <c r="C43" s="6">
        <v>1</v>
      </c>
      <c r="D43" s="5" t="s">
        <v>66</v>
      </c>
      <c r="E43" s="7">
        <v>15</v>
      </c>
      <c r="F43" s="7" t="s">
        <v>67</v>
      </c>
      <c r="G43" s="7">
        <v>15</v>
      </c>
      <c r="H43" s="7" t="s">
        <v>67</v>
      </c>
      <c r="I43" s="7">
        <v>14.25</v>
      </c>
      <c r="J43" s="7">
        <v>15.75</v>
      </c>
      <c r="K43" s="7">
        <v>14.99</v>
      </c>
      <c r="L43" s="6" t="str">
        <f t="shared" si="0"/>
        <v>PASS</v>
      </c>
      <c r="M43" s="5" t="s">
        <v>68</v>
      </c>
      <c r="N43" s="1"/>
      <c r="O43" s="1"/>
      <c r="P43" s="1"/>
      <c r="Q43" s="1"/>
      <c r="R43" s="1"/>
      <c r="S43" s="1"/>
      <c r="T43" s="2"/>
    </row>
    <row r="44" spans="1:20" ht="43.5">
      <c r="A44" s="12" t="s">
        <v>64</v>
      </c>
      <c r="B44" s="5" t="s">
        <v>65</v>
      </c>
      <c r="C44" s="6">
        <v>2</v>
      </c>
      <c r="D44" s="5" t="s">
        <v>69</v>
      </c>
      <c r="E44" s="7">
        <v>75</v>
      </c>
      <c r="F44" s="7" t="s">
        <v>67</v>
      </c>
      <c r="G44" s="7">
        <v>75</v>
      </c>
      <c r="H44" s="7" t="s">
        <v>67</v>
      </c>
      <c r="I44" s="7">
        <v>74.25</v>
      </c>
      <c r="J44" s="7">
        <v>75.75</v>
      </c>
      <c r="K44" s="7">
        <v>75.31</v>
      </c>
      <c r="L44" s="6" t="str">
        <f t="shared" si="0"/>
        <v>PASS</v>
      </c>
      <c r="M44" s="5" t="s">
        <v>68</v>
      </c>
      <c r="N44" s="1"/>
      <c r="O44" s="1"/>
      <c r="P44" s="1"/>
      <c r="Q44" s="1"/>
      <c r="R44" s="1"/>
      <c r="S44" s="1"/>
      <c r="T44" s="2"/>
    </row>
    <row r="45" spans="1:20" ht="43.5">
      <c r="A45" s="12" t="s">
        <v>64</v>
      </c>
      <c r="B45" s="5" t="s">
        <v>65</v>
      </c>
      <c r="C45" s="6">
        <v>3</v>
      </c>
      <c r="D45" s="5" t="s">
        <v>70</v>
      </c>
      <c r="E45" s="7">
        <v>150</v>
      </c>
      <c r="F45" s="7" t="s">
        <v>67</v>
      </c>
      <c r="G45" s="7">
        <v>150</v>
      </c>
      <c r="H45" s="7" t="s">
        <v>67</v>
      </c>
      <c r="I45" s="7">
        <v>149.25</v>
      </c>
      <c r="J45" s="7">
        <v>150.75</v>
      </c>
      <c r="K45" s="7">
        <v>150.62</v>
      </c>
      <c r="L45" s="6" t="str">
        <f t="shared" si="0"/>
        <v>PASS</v>
      </c>
      <c r="M45" s="5" t="s">
        <v>68</v>
      </c>
      <c r="N45" s="1"/>
      <c r="O45" s="1"/>
      <c r="P45" s="1"/>
      <c r="Q45" s="1"/>
      <c r="R45" s="1"/>
      <c r="S45" s="1"/>
      <c r="T45" s="2"/>
    </row>
    <row r="46" spans="1:20" ht="43.5">
      <c r="A46" s="12" t="s">
        <v>64</v>
      </c>
      <c r="B46" s="5" t="s">
        <v>65</v>
      </c>
      <c r="C46" s="6">
        <v>4</v>
      </c>
      <c r="D46" s="5" t="s">
        <v>71</v>
      </c>
      <c r="E46" s="7">
        <v>15</v>
      </c>
      <c r="F46" s="7" t="s">
        <v>67</v>
      </c>
      <c r="G46" s="7">
        <v>15</v>
      </c>
      <c r="H46" s="7" t="s">
        <v>67</v>
      </c>
      <c r="I46" s="7">
        <v>14.25</v>
      </c>
      <c r="J46" s="7">
        <v>15.75</v>
      </c>
      <c r="K46" s="7"/>
      <c r="L46" s="6" t="str">
        <f t="shared" si="0"/>
        <v/>
      </c>
      <c r="M46" s="5" t="s">
        <v>68</v>
      </c>
      <c r="N46" s="1"/>
      <c r="O46" s="1"/>
      <c r="P46" s="1"/>
      <c r="Q46" s="1"/>
      <c r="R46" s="1"/>
      <c r="S46" s="1"/>
      <c r="T46" s="2"/>
    </row>
    <row r="47" spans="1:20" ht="43.5">
      <c r="A47" s="12" t="s">
        <v>64</v>
      </c>
      <c r="B47" s="5" t="s">
        <v>65</v>
      </c>
      <c r="C47" s="6">
        <v>5</v>
      </c>
      <c r="D47" s="5" t="s">
        <v>72</v>
      </c>
      <c r="E47" s="7">
        <v>75</v>
      </c>
      <c r="F47" s="7" t="s">
        <v>67</v>
      </c>
      <c r="G47" s="7">
        <v>75</v>
      </c>
      <c r="H47" s="7" t="s">
        <v>67</v>
      </c>
      <c r="I47" s="7">
        <v>74.25</v>
      </c>
      <c r="J47" s="7">
        <v>75.75</v>
      </c>
      <c r="K47" s="7"/>
      <c r="L47" s="6" t="str">
        <f t="shared" si="0"/>
        <v/>
      </c>
      <c r="M47" s="5" t="s">
        <v>68</v>
      </c>
      <c r="N47" s="1"/>
      <c r="O47" s="1"/>
      <c r="P47" s="1"/>
      <c r="Q47" s="1"/>
      <c r="R47" s="1"/>
      <c r="S47" s="1"/>
      <c r="T47" s="2"/>
    </row>
    <row r="48" spans="1:20" ht="43.5">
      <c r="A48" s="12" t="s">
        <v>64</v>
      </c>
      <c r="B48" s="5" t="s">
        <v>65</v>
      </c>
      <c r="C48" s="6">
        <v>6</v>
      </c>
      <c r="D48" s="5" t="s">
        <v>73</v>
      </c>
      <c r="E48" s="7">
        <v>150</v>
      </c>
      <c r="F48" s="7" t="s">
        <v>67</v>
      </c>
      <c r="G48" s="7">
        <v>150</v>
      </c>
      <c r="H48" s="7" t="s">
        <v>67</v>
      </c>
      <c r="I48" s="7">
        <v>149.25</v>
      </c>
      <c r="J48" s="7">
        <v>150.75</v>
      </c>
      <c r="K48" s="7"/>
      <c r="L48" s="6" t="str">
        <f t="shared" si="0"/>
        <v/>
      </c>
      <c r="M48" s="5" t="s">
        <v>68</v>
      </c>
      <c r="N48" s="1"/>
      <c r="O48" s="1"/>
      <c r="P48" s="1"/>
      <c r="Q48" s="1"/>
      <c r="R48" s="1"/>
      <c r="S48" s="1"/>
      <c r="T48" s="2"/>
    </row>
    <row r="49" spans="1:20" ht="29.1">
      <c r="A49" s="12" t="s">
        <v>74</v>
      </c>
      <c r="B49" s="5" t="s">
        <v>75</v>
      </c>
      <c r="C49" s="6">
        <v>1</v>
      </c>
      <c r="D49" s="5" t="s">
        <v>76</v>
      </c>
      <c r="E49" s="7">
        <v>24</v>
      </c>
      <c r="F49" s="7" t="s">
        <v>57</v>
      </c>
      <c r="G49" s="7" t="s">
        <v>77</v>
      </c>
      <c r="H49" s="7"/>
      <c r="I49" s="7" t="s">
        <v>78</v>
      </c>
      <c r="J49" s="7" t="s">
        <v>78</v>
      </c>
      <c r="K49" s="7"/>
      <c r="L49" s="6" t="str">
        <f t="shared" si="0"/>
        <v/>
      </c>
      <c r="M49" s="5" t="s">
        <v>79</v>
      </c>
      <c r="N49" s="1"/>
      <c r="O49" s="1"/>
      <c r="P49" s="1"/>
      <c r="Q49" s="1"/>
      <c r="R49" s="1"/>
      <c r="S49" s="1"/>
      <c r="T49" s="2"/>
    </row>
    <row r="50" spans="1:20" ht="43.5">
      <c r="A50" s="12" t="s">
        <v>80</v>
      </c>
      <c r="B50" s="5" t="s">
        <v>81</v>
      </c>
      <c r="C50" s="6">
        <v>1</v>
      </c>
      <c r="D50" s="5" t="s">
        <v>82</v>
      </c>
      <c r="E50" s="7">
        <v>21.6</v>
      </c>
      <c r="F50" s="7" t="s">
        <v>57</v>
      </c>
      <c r="G50" s="7" t="s">
        <v>77</v>
      </c>
      <c r="H50" s="7"/>
      <c r="I50" s="7" t="s">
        <v>78</v>
      </c>
      <c r="J50" s="7" t="s">
        <v>78</v>
      </c>
      <c r="K50" s="7"/>
      <c r="L50" s="6" t="str">
        <f t="shared" si="0"/>
        <v/>
      </c>
      <c r="M50" s="5" t="s">
        <v>83</v>
      </c>
      <c r="N50" s="1"/>
      <c r="O50" s="1"/>
      <c r="P50" s="1"/>
      <c r="Q50" s="1"/>
      <c r="R50" s="1"/>
      <c r="S50" s="1"/>
      <c r="T50" s="2"/>
    </row>
    <row r="51" spans="1:20" ht="29.1">
      <c r="A51" s="12" t="s">
        <v>84</v>
      </c>
      <c r="B51" s="5" t="s">
        <v>85</v>
      </c>
      <c r="C51" s="6">
        <v>1</v>
      </c>
      <c r="D51" s="5" t="s">
        <v>86</v>
      </c>
      <c r="E51" s="7">
        <v>26.4</v>
      </c>
      <c r="F51" s="7" t="s">
        <v>57</v>
      </c>
      <c r="G51" s="7" t="s">
        <v>77</v>
      </c>
      <c r="H51" s="7"/>
      <c r="I51" s="7" t="s">
        <v>78</v>
      </c>
      <c r="J51" s="7" t="s">
        <v>78</v>
      </c>
      <c r="K51" s="7"/>
      <c r="L51" s="6" t="str">
        <f t="shared" si="0"/>
        <v/>
      </c>
      <c r="M51" s="5" t="s">
        <v>87</v>
      </c>
      <c r="N51" s="1"/>
      <c r="O51" s="1"/>
      <c r="P51" s="1"/>
      <c r="Q51" s="1"/>
      <c r="R51" s="1"/>
      <c r="S51" s="1"/>
      <c r="T51" s="2"/>
    </row>
    <row r="52" spans="1:20" ht="29.1">
      <c r="A52" s="12" t="s">
        <v>88</v>
      </c>
      <c r="B52" s="5" t="s">
        <v>89</v>
      </c>
      <c r="C52" s="6">
        <v>1</v>
      </c>
      <c r="D52" s="5" t="s">
        <v>90</v>
      </c>
      <c r="E52" s="7">
        <v>24</v>
      </c>
      <c r="F52" s="7" t="s">
        <v>57</v>
      </c>
      <c r="G52" s="7" t="s">
        <v>91</v>
      </c>
      <c r="H52" s="7"/>
      <c r="I52" s="7" t="s">
        <v>78</v>
      </c>
      <c r="J52" s="7" t="s">
        <v>78</v>
      </c>
      <c r="K52" s="7"/>
      <c r="L52" s="6" t="str">
        <f t="shared" si="0"/>
        <v/>
      </c>
      <c r="M52" s="5" t="s">
        <v>92</v>
      </c>
      <c r="N52" s="1"/>
      <c r="O52" s="1"/>
      <c r="P52" s="1"/>
      <c r="Q52" s="1"/>
      <c r="R52" s="1"/>
      <c r="S52" s="1"/>
      <c r="T52" s="2"/>
    </row>
    <row r="53" spans="1:20" ht="29.1">
      <c r="A53" s="12" t="s">
        <v>88</v>
      </c>
      <c r="B53" s="5" t="s">
        <v>89</v>
      </c>
      <c r="C53" s="6">
        <v>2</v>
      </c>
      <c r="D53" s="11" t="s">
        <v>93</v>
      </c>
      <c r="E53" s="7">
        <v>48</v>
      </c>
      <c r="F53" s="7" t="s">
        <v>57</v>
      </c>
      <c r="G53" s="7" t="s">
        <v>91</v>
      </c>
      <c r="H53" s="7"/>
      <c r="I53" s="7" t="s">
        <v>78</v>
      </c>
      <c r="J53" s="7" t="s">
        <v>78</v>
      </c>
      <c r="K53" s="7"/>
      <c r="L53" s="6" t="str">
        <f t="shared" si="0"/>
        <v/>
      </c>
      <c r="M53" s="5" t="s">
        <v>92</v>
      </c>
      <c r="N53" s="1"/>
      <c r="O53" s="1"/>
      <c r="P53" s="1"/>
      <c r="Q53" s="1"/>
      <c r="R53" s="1"/>
      <c r="S53" s="1"/>
      <c r="T53" s="2"/>
    </row>
    <row r="54" spans="1:20" ht="29.1">
      <c r="A54" s="12" t="s">
        <v>88</v>
      </c>
      <c r="B54" s="5" t="s">
        <v>89</v>
      </c>
      <c r="C54" s="6">
        <v>3</v>
      </c>
      <c r="D54" s="5" t="s">
        <v>94</v>
      </c>
      <c r="E54" s="7">
        <v>60</v>
      </c>
      <c r="F54" s="7" t="s">
        <v>57</v>
      </c>
      <c r="G54" s="7" t="s">
        <v>91</v>
      </c>
      <c r="H54" s="7"/>
      <c r="I54" s="7" t="s">
        <v>78</v>
      </c>
      <c r="J54" s="7" t="s">
        <v>78</v>
      </c>
      <c r="K54" s="7"/>
      <c r="L54" s="6" t="str">
        <f t="shared" si="0"/>
        <v/>
      </c>
      <c r="M54" s="5" t="s">
        <v>92</v>
      </c>
      <c r="N54" s="1"/>
      <c r="O54" s="1"/>
      <c r="P54" s="1"/>
      <c r="Q54" s="1"/>
      <c r="R54" s="1"/>
      <c r="S54" s="1"/>
      <c r="T54" s="2"/>
    </row>
    <row r="55" spans="1:20" ht="29.1">
      <c r="A55" s="12" t="s">
        <v>88</v>
      </c>
      <c r="B55" s="5" t="s">
        <v>89</v>
      </c>
      <c r="C55" s="6">
        <v>4</v>
      </c>
      <c r="D55" s="5" t="s">
        <v>95</v>
      </c>
      <c r="E55" s="7">
        <v>80</v>
      </c>
      <c r="F55" s="7" t="s">
        <v>57</v>
      </c>
      <c r="G55" s="7" t="s">
        <v>91</v>
      </c>
      <c r="H55" s="7"/>
      <c r="I55" s="7" t="s">
        <v>78</v>
      </c>
      <c r="J55" s="7" t="s">
        <v>78</v>
      </c>
      <c r="K55" s="7"/>
      <c r="L55" s="6" t="str">
        <f t="shared" si="0"/>
        <v/>
      </c>
      <c r="M55" s="5" t="s">
        <v>92</v>
      </c>
      <c r="N55" s="1"/>
      <c r="O55" s="1"/>
      <c r="P55" s="1"/>
      <c r="Q55" s="1"/>
      <c r="R55" s="1"/>
      <c r="S55" s="1"/>
      <c r="T55" s="2"/>
    </row>
    <row r="56" spans="1:20" ht="29.1">
      <c r="A56" s="5" t="s">
        <v>88</v>
      </c>
      <c r="B56" s="5" t="s">
        <v>89</v>
      </c>
      <c r="C56" s="6">
        <v>5</v>
      </c>
      <c r="D56" s="5" t="s">
        <v>96</v>
      </c>
      <c r="E56" s="7">
        <v>110</v>
      </c>
      <c r="F56" s="7" t="s">
        <v>57</v>
      </c>
      <c r="G56" s="7" t="s">
        <v>91</v>
      </c>
      <c r="H56" s="7"/>
      <c r="I56" s="7" t="s">
        <v>78</v>
      </c>
      <c r="J56" s="7" t="s">
        <v>78</v>
      </c>
      <c r="K56" s="7"/>
      <c r="L56" s="6" t="str">
        <f t="shared" si="0"/>
        <v/>
      </c>
      <c r="M56" s="5" t="s">
        <v>92</v>
      </c>
      <c r="N56" s="1"/>
      <c r="O56" s="1"/>
      <c r="P56" s="1"/>
      <c r="Q56" s="1"/>
      <c r="R56" s="1"/>
      <c r="S56" s="1"/>
      <c r="T56" s="2"/>
    </row>
    <row r="57" spans="1:20" ht="29.1">
      <c r="A57" s="5" t="s">
        <v>88</v>
      </c>
      <c r="B57" s="5" t="s">
        <v>89</v>
      </c>
      <c r="C57" s="6">
        <v>6</v>
      </c>
      <c r="D57" s="5" t="s">
        <v>97</v>
      </c>
      <c r="E57" s="7">
        <v>125</v>
      </c>
      <c r="F57" s="7" t="s">
        <v>57</v>
      </c>
      <c r="G57" s="7" t="s">
        <v>91</v>
      </c>
      <c r="H57" s="7"/>
      <c r="I57" s="7" t="s">
        <v>78</v>
      </c>
      <c r="J57" s="7" t="s">
        <v>78</v>
      </c>
      <c r="K57" s="7"/>
      <c r="L57" s="6" t="str">
        <f t="shared" si="0"/>
        <v/>
      </c>
      <c r="M57" s="5" t="s">
        <v>92</v>
      </c>
      <c r="N57" s="1"/>
      <c r="O57" s="1"/>
      <c r="P57" s="1"/>
      <c r="Q57" s="1"/>
      <c r="R57" s="1"/>
      <c r="S57" s="1"/>
      <c r="T57" s="2"/>
    </row>
    <row r="58" spans="1:20" ht="29.1">
      <c r="A58" s="5" t="s">
        <v>98</v>
      </c>
      <c r="B58" s="5" t="s">
        <v>99</v>
      </c>
      <c r="C58" s="6">
        <v>1</v>
      </c>
      <c r="D58" s="5" t="s">
        <v>100</v>
      </c>
      <c r="E58" s="7">
        <v>15</v>
      </c>
      <c r="F58" s="7" t="s">
        <v>101</v>
      </c>
      <c r="G58" s="7" t="s">
        <v>102</v>
      </c>
      <c r="H58" s="7" t="s">
        <v>103</v>
      </c>
      <c r="I58" s="7" t="s">
        <v>104</v>
      </c>
      <c r="J58" s="7" t="s">
        <v>104</v>
      </c>
      <c r="K58" s="7"/>
      <c r="L58" s="6" t="str">
        <f t="shared" si="0"/>
        <v/>
      </c>
      <c r="M58" s="5" t="s">
        <v>105</v>
      </c>
      <c r="N58" s="1"/>
      <c r="O58" s="1"/>
      <c r="P58" s="1"/>
      <c r="Q58" s="1"/>
      <c r="R58" s="1"/>
      <c r="S58" s="1"/>
      <c r="T58" s="2"/>
    </row>
    <row r="59" spans="1:20" ht="29.1">
      <c r="A59" s="5" t="s">
        <v>98</v>
      </c>
      <c r="B59" s="5" t="s">
        <v>99</v>
      </c>
      <c r="C59" s="6">
        <v>2</v>
      </c>
      <c r="D59" s="11" t="s">
        <v>106</v>
      </c>
      <c r="E59" s="7">
        <v>15</v>
      </c>
      <c r="F59" s="7" t="s">
        <v>101</v>
      </c>
      <c r="G59" s="7" t="s">
        <v>107</v>
      </c>
      <c r="H59" s="7" t="s">
        <v>103</v>
      </c>
      <c r="I59" s="7" t="s">
        <v>104</v>
      </c>
      <c r="J59" s="7" t="s">
        <v>104</v>
      </c>
      <c r="K59" s="7"/>
      <c r="L59" s="6" t="str">
        <f t="shared" si="0"/>
        <v/>
      </c>
      <c r="M59" s="5" t="s">
        <v>105</v>
      </c>
      <c r="N59" s="1"/>
      <c r="O59" s="1"/>
      <c r="P59" s="1"/>
      <c r="Q59" s="1"/>
      <c r="R59" s="1"/>
      <c r="S59" s="1"/>
      <c r="T59" s="2"/>
    </row>
    <row r="60" spans="1:20" ht="29.1">
      <c r="A60" s="5" t="s">
        <v>108</v>
      </c>
      <c r="B60" s="5" t="s">
        <v>109</v>
      </c>
      <c r="C60" s="6">
        <v>1</v>
      </c>
      <c r="D60" s="5" t="s">
        <v>110</v>
      </c>
      <c r="E60" s="7">
        <v>45</v>
      </c>
      <c r="F60" s="7" t="s">
        <v>101</v>
      </c>
      <c r="G60" s="7" t="s">
        <v>102</v>
      </c>
      <c r="H60" s="7" t="s">
        <v>103</v>
      </c>
      <c r="I60" s="7" t="s">
        <v>104</v>
      </c>
      <c r="J60" s="7" t="s">
        <v>104</v>
      </c>
      <c r="K60" s="7"/>
      <c r="L60" s="6" t="str">
        <f t="shared" si="0"/>
        <v/>
      </c>
      <c r="M60" s="5" t="s">
        <v>105</v>
      </c>
      <c r="N60" s="1"/>
      <c r="O60" s="1"/>
      <c r="P60" s="1"/>
      <c r="Q60" s="1"/>
      <c r="R60" s="1"/>
      <c r="S60" s="1"/>
      <c r="T60" s="2"/>
    </row>
    <row r="61" spans="1:20" ht="29.1">
      <c r="A61" s="5" t="s">
        <v>108</v>
      </c>
      <c r="B61" s="5" t="s">
        <v>109</v>
      </c>
      <c r="C61" s="6">
        <v>2</v>
      </c>
      <c r="D61" s="5" t="s">
        <v>111</v>
      </c>
      <c r="E61" s="7">
        <v>45</v>
      </c>
      <c r="F61" s="7" t="s">
        <v>101</v>
      </c>
      <c r="G61" s="7" t="s">
        <v>107</v>
      </c>
      <c r="H61" s="7" t="s">
        <v>103</v>
      </c>
      <c r="I61" s="7" t="s">
        <v>104</v>
      </c>
      <c r="J61" s="7" t="s">
        <v>104</v>
      </c>
      <c r="K61" s="7"/>
      <c r="L61" s="6" t="str">
        <f t="shared" si="0"/>
        <v/>
      </c>
      <c r="M61" s="5" t="s">
        <v>105</v>
      </c>
      <c r="N61" s="1"/>
      <c r="O61" s="1"/>
      <c r="P61" s="1"/>
      <c r="Q61" s="1"/>
      <c r="R61" s="1"/>
      <c r="S61" s="1"/>
      <c r="T61" s="2"/>
    </row>
    <row r="62" spans="1:20" ht="29.1">
      <c r="A62" s="5" t="s">
        <v>112</v>
      </c>
      <c r="B62" s="5" t="s">
        <v>113</v>
      </c>
      <c r="C62" s="6">
        <v>1</v>
      </c>
      <c r="D62" s="5" t="s">
        <v>114</v>
      </c>
      <c r="E62" s="7">
        <v>50</v>
      </c>
      <c r="F62" s="7" t="s">
        <v>115</v>
      </c>
      <c r="G62" s="7">
        <v>20</v>
      </c>
      <c r="H62" s="7" t="s">
        <v>116</v>
      </c>
      <c r="I62" s="7" t="s">
        <v>104</v>
      </c>
      <c r="J62" s="7" t="s">
        <v>104</v>
      </c>
      <c r="K62" s="7"/>
      <c r="L62" s="6" t="str">
        <f t="shared" si="0"/>
        <v/>
      </c>
      <c r="M62" s="5" t="s">
        <v>117</v>
      </c>
      <c r="N62" s="1"/>
      <c r="O62" s="1"/>
      <c r="P62" s="1"/>
      <c r="Q62" s="1"/>
      <c r="R62" s="1"/>
      <c r="S62" s="1"/>
      <c r="T62" s="2"/>
    </row>
    <row r="63" spans="1:20" ht="29.1">
      <c r="A63" s="11" t="s">
        <v>118</v>
      </c>
      <c r="B63" s="5" t="s">
        <v>119</v>
      </c>
      <c r="C63" s="6">
        <v>1</v>
      </c>
      <c r="D63" s="5" t="s">
        <v>120</v>
      </c>
      <c r="E63" s="7">
        <v>20</v>
      </c>
      <c r="F63" s="7" t="s">
        <v>121</v>
      </c>
      <c r="G63" s="7">
        <v>20</v>
      </c>
      <c r="H63" s="7" t="s">
        <v>121</v>
      </c>
      <c r="I63" s="7">
        <v>19.899999999999999</v>
      </c>
      <c r="J63" s="7">
        <v>20.100000000000001</v>
      </c>
      <c r="K63" s="7"/>
      <c r="L63" s="6" t="str">
        <f t="shared" si="0"/>
        <v/>
      </c>
      <c r="M63" s="5" t="s">
        <v>122</v>
      </c>
      <c r="N63" s="1"/>
      <c r="O63" s="1"/>
      <c r="P63" s="1"/>
      <c r="Q63" s="1"/>
      <c r="R63" s="1"/>
      <c r="S63" s="1"/>
      <c r="T63" s="2"/>
    </row>
    <row r="64" spans="1:20" ht="29.1">
      <c r="A64" s="5" t="s">
        <v>118</v>
      </c>
      <c r="B64" s="5" t="s">
        <v>119</v>
      </c>
      <c r="C64" s="6">
        <v>2</v>
      </c>
      <c r="D64" s="5" t="s">
        <v>123</v>
      </c>
      <c r="E64" s="7">
        <v>40</v>
      </c>
      <c r="F64" s="7" t="s">
        <v>121</v>
      </c>
      <c r="G64" s="7">
        <v>40</v>
      </c>
      <c r="H64" s="7" t="s">
        <v>121</v>
      </c>
      <c r="I64" s="7">
        <v>39.9</v>
      </c>
      <c r="J64" s="7">
        <v>40.1</v>
      </c>
      <c r="K64" s="7"/>
      <c r="L64" s="6" t="str">
        <f t="shared" si="0"/>
        <v/>
      </c>
      <c r="M64" s="5" t="s">
        <v>122</v>
      </c>
      <c r="N64" s="1"/>
      <c r="O64" s="1"/>
      <c r="P64" s="1"/>
      <c r="Q64" s="1"/>
      <c r="R64" s="1"/>
      <c r="S64" s="1"/>
      <c r="T64" s="2"/>
    </row>
    <row r="65" spans="1:20" ht="29.1">
      <c r="A65" s="5" t="s">
        <v>118</v>
      </c>
      <c r="B65" s="5" t="s">
        <v>119</v>
      </c>
      <c r="C65" s="6">
        <v>3</v>
      </c>
      <c r="D65" s="5" t="s">
        <v>124</v>
      </c>
      <c r="E65" s="7">
        <v>60</v>
      </c>
      <c r="F65" s="13" t="s">
        <v>121</v>
      </c>
      <c r="G65" s="7">
        <v>60</v>
      </c>
      <c r="H65" s="7" t="s">
        <v>121</v>
      </c>
      <c r="I65" s="7">
        <v>59.9</v>
      </c>
      <c r="J65" s="7">
        <v>60.1</v>
      </c>
      <c r="K65" s="7"/>
      <c r="L65" s="6" t="str">
        <f t="shared" si="0"/>
        <v/>
      </c>
      <c r="M65" s="5" t="s">
        <v>122</v>
      </c>
      <c r="N65" s="1"/>
      <c r="O65" s="1"/>
      <c r="P65" s="1"/>
      <c r="Q65" s="1"/>
      <c r="R65" s="1"/>
      <c r="S65" s="1"/>
      <c r="T65" s="2"/>
    </row>
    <row r="66" spans="1:20" ht="29.1">
      <c r="A66" s="5" t="s">
        <v>118</v>
      </c>
      <c r="B66" s="5" t="s">
        <v>119</v>
      </c>
      <c r="C66" s="6">
        <v>4</v>
      </c>
      <c r="D66" s="5" t="s">
        <v>125</v>
      </c>
      <c r="E66" s="7">
        <v>100</v>
      </c>
      <c r="F66" s="7" t="s">
        <v>121</v>
      </c>
      <c r="G66" s="7">
        <v>100</v>
      </c>
      <c r="H66" s="7" t="s">
        <v>121</v>
      </c>
      <c r="I66" s="7">
        <v>99.9</v>
      </c>
      <c r="J66" s="7">
        <v>100.1</v>
      </c>
      <c r="K66" s="7"/>
      <c r="L66" s="6" t="str">
        <f t="shared" si="0"/>
        <v/>
      </c>
      <c r="M66" s="5" t="s">
        <v>122</v>
      </c>
      <c r="N66" s="1"/>
      <c r="O66" s="1"/>
      <c r="P66" s="1"/>
      <c r="Q66" s="1"/>
      <c r="R66" s="1"/>
      <c r="S66" s="1"/>
      <c r="T66" s="2"/>
    </row>
    <row r="67" spans="1:20" ht="29.1">
      <c r="A67" s="5" t="s">
        <v>126</v>
      </c>
      <c r="B67" s="5" t="s">
        <v>127</v>
      </c>
      <c r="C67" s="6">
        <v>1</v>
      </c>
      <c r="D67" s="5" t="s">
        <v>120</v>
      </c>
      <c r="E67" s="7">
        <v>20</v>
      </c>
      <c r="F67" s="7" t="s">
        <v>121</v>
      </c>
      <c r="G67" s="7">
        <v>20</v>
      </c>
      <c r="H67" s="7" t="s">
        <v>121</v>
      </c>
      <c r="I67" s="7">
        <v>19.899999999999999</v>
      </c>
      <c r="J67" s="7">
        <v>20.100000000000001</v>
      </c>
      <c r="K67" s="7"/>
      <c r="L67" s="6" t="str">
        <f t="shared" si="0"/>
        <v/>
      </c>
      <c r="M67" s="5" t="s">
        <v>128</v>
      </c>
      <c r="N67" s="1"/>
      <c r="O67" s="1"/>
      <c r="P67" s="1"/>
      <c r="Q67" s="1"/>
      <c r="R67" s="1"/>
      <c r="S67" s="1"/>
      <c r="T67" s="2"/>
    </row>
    <row r="68" spans="1:20" ht="29.1">
      <c r="A68" s="5" t="s">
        <v>126</v>
      </c>
      <c r="B68" s="5" t="s">
        <v>127</v>
      </c>
      <c r="C68" s="6">
        <v>2</v>
      </c>
      <c r="D68" s="5" t="s">
        <v>123</v>
      </c>
      <c r="E68" s="7">
        <v>40</v>
      </c>
      <c r="F68" s="7" t="s">
        <v>121</v>
      </c>
      <c r="G68" s="7">
        <v>40</v>
      </c>
      <c r="H68" s="7" t="s">
        <v>121</v>
      </c>
      <c r="I68" s="7">
        <v>39.9</v>
      </c>
      <c r="J68" s="7">
        <v>40.1</v>
      </c>
      <c r="K68" s="7"/>
      <c r="L68" s="6" t="str">
        <f t="shared" si="0"/>
        <v/>
      </c>
      <c r="M68" s="5" t="s">
        <v>128</v>
      </c>
      <c r="N68" s="1"/>
      <c r="O68" s="1"/>
      <c r="P68" s="1"/>
      <c r="Q68" s="1"/>
      <c r="R68" s="1"/>
      <c r="S68" s="1"/>
      <c r="T68" s="2"/>
    </row>
    <row r="69" spans="1:20" ht="29.1">
      <c r="A69" s="5" t="s">
        <v>126</v>
      </c>
      <c r="B69" s="5" t="s">
        <v>127</v>
      </c>
      <c r="C69" s="6">
        <v>3</v>
      </c>
      <c r="D69" s="5" t="s">
        <v>124</v>
      </c>
      <c r="E69" s="7">
        <v>60</v>
      </c>
      <c r="F69" s="7" t="s">
        <v>121</v>
      </c>
      <c r="G69" s="7">
        <v>60</v>
      </c>
      <c r="H69" s="7" t="s">
        <v>121</v>
      </c>
      <c r="I69" s="7">
        <v>59.9</v>
      </c>
      <c r="J69" s="7">
        <v>60.1</v>
      </c>
      <c r="K69" s="7"/>
      <c r="L69" s="6" t="str">
        <f t="shared" si="0"/>
        <v/>
      </c>
      <c r="M69" s="5" t="s">
        <v>128</v>
      </c>
      <c r="N69" s="1"/>
      <c r="O69" s="1"/>
      <c r="P69" s="1"/>
      <c r="Q69" s="1"/>
      <c r="R69" s="1"/>
      <c r="S69" s="1"/>
      <c r="T69" s="2"/>
    </row>
    <row r="70" spans="1:20" ht="29.1">
      <c r="A70" s="5" t="s">
        <v>126</v>
      </c>
      <c r="B70" s="5" t="s">
        <v>127</v>
      </c>
      <c r="C70" s="6">
        <v>4</v>
      </c>
      <c r="D70" s="5" t="s">
        <v>125</v>
      </c>
      <c r="E70" s="7">
        <v>100</v>
      </c>
      <c r="F70" s="7" t="s">
        <v>121</v>
      </c>
      <c r="G70" s="7">
        <v>100</v>
      </c>
      <c r="H70" s="7" t="s">
        <v>121</v>
      </c>
      <c r="I70" s="7">
        <v>99.9</v>
      </c>
      <c r="J70" s="7">
        <v>100.1</v>
      </c>
      <c r="K70" s="7"/>
      <c r="L70" s="6" t="str">
        <f t="shared" si="0"/>
        <v/>
      </c>
      <c r="M70" s="5" t="s">
        <v>128</v>
      </c>
      <c r="N70" s="1"/>
      <c r="O70" s="1"/>
      <c r="P70" s="1"/>
      <c r="Q70" s="1"/>
      <c r="R70" s="1"/>
      <c r="S70" s="1"/>
      <c r="T70" s="2"/>
    </row>
    <row r="71" spans="1:20" ht="29.1">
      <c r="A71" s="5" t="s">
        <v>129</v>
      </c>
      <c r="B71" s="5" t="s">
        <v>130</v>
      </c>
      <c r="C71" s="6">
        <v>1</v>
      </c>
      <c r="D71" s="5" t="s">
        <v>120</v>
      </c>
      <c r="E71" s="7">
        <v>20</v>
      </c>
      <c r="F71" s="7" t="s">
        <v>121</v>
      </c>
      <c r="G71" s="7">
        <v>20</v>
      </c>
      <c r="H71" s="7" t="s">
        <v>121</v>
      </c>
      <c r="I71" s="7">
        <v>19.899999999999999</v>
      </c>
      <c r="J71" s="7">
        <v>20.100000000000001</v>
      </c>
      <c r="K71" s="7"/>
      <c r="L71" s="6" t="str">
        <f t="shared" si="0"/>
        <v/>
      </c>
      <c r="M71" s="5" t="s">
        <v>131</v>
      </c>
      <c r="N71" s="1"/>
      <c r="O71" s="1"/>
      <c r="P71" s="1"/>
      <c r="Q71" s="1"/>
      <c r="R71" s="1"/>
      <c r="S71" s="1"/>
      <c r="T71" s="2"/>
    </row>
    <row r="72" spans="1:20" ht="29.1">
      <c r="A72" s="5" t="s">
        <v>129</v>
      </c>
      <c r="B72" s="5" t="s">
        <v>130</v>
      </c>
      <c r="C72" s="6">
        <v>2</v>
      </c>
      <c r="D72" s="5" t="s">
        <v>123</v>
      </c>
      <c r="E72" s="7">
        <v>40</v>
      </c>
      <c r="F72" s="7" t="s">
        <v>121</v>
      </c>
      <c r="G72" s="7">
        <v>40</v>
      </c>
      <c r="H72" s="7" t="s">
        <v>121</v>
      </c>
      <c r="I72" s="7">
        <v>39.9</v>
      </c>
      <c r="J72" s="7">
        <v>40.1</v>
      </c>
      <c r="K72" s="7"/>
      <c r="L72" s="6" t="str">
        <f t="shared" si="0"/>
        <v/>
      </c>
      <c r="M72" s="5" t="s">
        <v>131</v>
      </c>
      <c r="N72" s="1"/>
      <c r="O72" s="1"/>
      <c r="P72" s="1"/>
      <c r="Q72" s="1"/>
      <c r="R72" s="1"/>
      <c r="S72" s="1"/>
      <c r="T72" s="2"/>
    </row>
    <row r="73" spans="1:20" ht="29.1">
      <c r="A73" s="5" t="s">
        <v>129</v>
      </c>
      <c r="B73" s="5" t="s">
        <v>130</v>
      </c>
      <c r="C73" s="6">
        <v>3</v>
      </c>
      <c r="D73" s="5" t="s">
        <v>124</v>
      </c>
      <c r="E73" s="7">
        <v>60</v>
      </c>
      <c r="F73" s="7" t="s">
        <v>121</v>
      </c>
      <c r="G73" s="7">
        <v>60</v>
      </c>
      <c r="H73" s="7" t="s">
        <v>121</v>
      </c>
      <c r="I73" s="7">
        <v>59.9</v>
      </c>
      <c r="J73" s="7">
        <v>60.1</v>
      </c>
      <c r="K73" s="7"/>
      <c r="L73" s="6" t="str">
        <f t="shared" si="0"/>
        <v/>
      </c>
      <c r="M73" s="5" t="s">
        <v>131</v>
      </c>
      <c r="N73" s="1"/>
      <c r="O73" s="1"/>
      <c r="P73" s="1"/>
      <c r="Q73" s="1"/>
      <c r="R73" s="1"/>
      <c r="S73" s="1"/>
      <c r="T73" s="2"/>
    </row>
    <row r="74" spans="1:20" ht="29.1">
      <c r="A74" s="5" t="s">
        <v>129</v>
      </c>
      <c r="B74" s="5" t="s">
        <v>130</v>
      </c>
      <c r="C74" s="6">
        <v>4</v>
      </c>
      <c r="D74" s="5" t="s">
        <v>125</v>
      </c>
      <c r="E74" s="7">
        <v>100</v>
      </c>
      <c r="F74" s="7" t="s">
        <v>121</v>
      </c>
      <c r="G74" s="7">
        <v>100</v>
      </c>
      <c r="H74" s="7" t="s">
        <v>121</v>
      </c>
      <c r="I74" s="7">
        <v>99.9</v>
      </c>
      <c r="J74" s="7">
        <v>100.1</v>
      </c>
      <c r="K74" s="7"/>
      <c r="L74" s="6" t="str">
        <f t="shared" si="0"/>
        <v/>
      </c>
      <c r="M74" s="5" t="s">
        <v>131</v>
      </c>
      <c r="N74" s="1"/>
      <c r="O74" s="1"/>
      <c r="P74" s="1"/>
      <c r="Q74" s="1"/>
      <c r="R74" s="1"/>
      <c r="S74" s="1"/>
      <c r="T74" s="2"/>
    </row>
    <row r="75" spans="1:20" ht="29.1">
      <c r="A75" s="5" t="s">
        <v>132</v>
      </c>
      <c r="B75" s="5" t="s">
        <v>133</v>
      </c>
      <c r="C75" s="6">
        <v>1</v>
      </c>
      <c r="D75" s="5" t="s">
        <v>134</v>
      </c>
      <c r="E75" s="7">
        <v>0</v>
      </c>
      <c r="F75" s="7" t="s">
        <v>135</v>
      </c>
      <c r="G75" s="7">
        <v>0</v>
      </c>
      <c r="H75" s="7" t="s">
        <v>17</v>
      </c>
      <c r="I75" s="7">
        <v>-1</v>
      </c>
      <c r="J75" s="7">
        <v>1</v>
      </c>
      <c r="K75" s="7"/>
      <c r="L75" s="6" t="str">
        <f t="shared" si="0"/>
        <v/>
      </c>
      <c r="M75" s="5" t="s">
        <v>136</v>
      </c>
      <c r="N75" s="1"/>
      <c r="O75" s="1"/>
      <c r="P75" s="1"/>
      <c r="Q75" s="1"/>
      <c r="R75" s="1"/>
      <c r="S75" s="1"/>
      <c r="T75" s="2"/>
    </row>
    <row r="76" spans="1:20" ht="29.1">
      <c r="A76" s="5" t="s">
        <v>132</v>
      </c>
      <c r="B76" s="5" t="s">
        <v>133</v>
      </c>
      <c r="C76" s="6">
        <v>2</v>
      </c>
      <c r="D76" s="5" t="s">
        <v>137</v>
      </c>
      <c r="E76" s="7">
        <v>25</v>
      </c>
      <c r="F76" s="7" t="s">
        <v>135</v>
      </c>
      <c r="G76" s="7">
        <v>25</v>
      </c>
      <c r="H76" s="7" t="s">
        <v>17</v>
      </c>
      <c r="I76" s="7">
        <v>24</v>
      </c>
      <c r="J76" s="7">
        <v>26</v>
      </c>
      <c r="K76" s="7"/>
      <c r="L76" s="6" t="str">
        <f t="shared" ref="L76:L139" si="1">IF(K76="","",IF(AND(ISNUMBER(I76),ISNUMBER(J76),ISNUMBER(K76)),IF(AND(K76&gt;=I76,K76&lt;=J76),"PASS","FAIL"),"REVIEW"))</f>
        <v/>
      </c>
      <c r="M76" s="5" t="s">
        <v>136</v>
      </c>
      <c r="N76" s="1"/>
      <c r="O76" s="1"/>
      <c r="P76" s="1"/>
      <c r="Q76" s="1"/>
      <c r="R76" s="1"/>
      <c r="S76" s="1"/>
      <c r="T76" s="2"/>
    </row>
    <row r="77" spans="1:20" ht="29.1">
      <c r="A77" s="5" t="s">
        <v>132</v>
      </c>
      <c r="B77" s="5" t="s">
        <v>133</v>
      </c>
      <c r="C77" s="6">
        <v>3</v>
      </c>
      <c r="D77" s="5" t="s">
        <v>138</v>
      </c>
      <c r="E77" s="7">
        <v>50</v>
      </c>
      <c r="F77" s="7" t="s">
        <v>135</v>
      </c>
      <c r="G77" s="7">
        <v>50</v>
      </c>
      <c r="H77" s="7" t="s">
        <v>17</v>
      </c>
      <c r="I77" s="7">
        <v>49</v>
      </c>
      <c r="J77" s="7">
        <v>51</v>
      </c>
      <c r="K77" s="7"/>
      <c r="L77" s="6" t="str">
        <f t="shared" si="1"/>
        <v/>
      </c>
      <c r="M77" s="5" t="s">
        <v>136</v>
      </c>
      <c r="N77" s="1"/>
      <c r="O77" s="1"/>
      <c r="P77" s="1"/>
      <c r="Q77" s="1"/>
      <c r="R77" s="1"/>
      <c r="S77" s="1"/>
      <c r="T77" s="2"/>
    </row>
    <row r="78" spans="1:20" ht="29.1">
      <c r="A78" s="5" t="s">
        <v>132</v>
      </c>
      <c r="B78" s="5" t="s">
        <v>133</v>
      </c>
      <c r="C78" s="6">
        <v>4</v>
      </c>
      <c r="D78" s="5" t="s">
        <v>139</v>
      </c>
      <c r="E78" s="7">
        <v>75</v>
      </c>
      <c r="F78" s="7" t="s">
        <v>135</v>
      </c>
      <c r="G78" s="7">
        <v>75</v>
      </c>
      <c r="H78" s="7" t="s">
        <v>17</v>
      </c>
      <c r="I78" s="7">
        <v>74</v>
      </c>
      <c r="J78" s="7">
        <v>76</v>
      </c>
      <c r="K78" s="7"/>
      <c r="L78" s="6" t="str">
        <f t="shared" si="1"/>
        <v/>
      </c>
      <c r="M78" s="5" t="s">
        <v>136</v>
      </c>
      <c r="N78" s="1"/>
      <c r="O78" s="1"/>
      <c r="P78" s="1"/>
      <c r="Q78" s="1"/>
      <c r="R78" s="1"/>
      <c r="S78" s="1"/>
      <c r="T78" s="2"/>
    </row>
    <row r="79" spans="1:20" ht="29.1">
      <c r="A79" s="5" t="s">
        <v>132</v>
      </c>
      <c r="B79" s="5" t="s">
        <v>133</v>
      </c>
      <c r="C79" s="6">
        <v>5</v>
      </c>
      <c r="D79" s="5" t="s">
        <v>140</v>
      </c>
      <c r="E79" s="7">
        <v>100</v>
      </c>
      <c r="F79" s="7" t="s">
        <v>135</v>
      </c>
      <c r="G79" s="7">
        <v>100</v>
      </c>
      <c r="H79" s="7" t="s">
        <v>17</v>
      </c>
      <c r="I79" s="7">
        <v>99</v>
      </c>
      <c r="J79" s="7">
        <v>101</v>
      </c>
      <c r="K79" s="7"/>
      <c r="L79" s="6" t="str">
        <f t="shared" si="1"/>
        <v/>
      </c>
      <c r="M79" s="5" t="s">
        <v>136</v>
      </c>
      <c r="N79" s="1"/>
      <c r="O79" s="1"/>
      <c r="P79" s="1"/>
      <c r="Q79" s="1"/>
      <c r="R79" s="1"/>
      <c r="S79" s="1"/>
      <c r="T79" s="2"/>
    </row>
    <row r="80" spans="1:20" ht="43.5">
      <c r="A80" s="5" t="s">
        <v>141</v>
      </c>
      <c r="B80" s="5" t="s">
        <v>142</v>
      </c>
      <c r="C80" s="6">
        <v>1</v>
      </c>
      <c r="D80" s="5" t="s">
        <v>143</v>
      </c>
      <c r="E80" s="7">
        <v>10</v>
      </c>
      <c r="F80" s="7" t="s">
        <v>144</v>
      </c>
      <c r="G80" s="7">
        <v>10</v>
      </c>
      <c r="H80" s="7" t="s">
        <v>43</v>
      </c>
      <c r="I80" s="7">
        <v>9.5</v>
      </c>
      <c r="J80" s="7">
        <v>10.5</v>
      </c>
      <c r="K80" s="7"/>
      <c r="L80" s="6" t="str">
        <f t="shared" si="1"/>
        <v/>
      </c>
      <c r="M80" s="5" t="s">
        <v>145</v>
      </c>
      <c r="N80" s="1"/>
      <c r="O80" s="1"/>
      <c r="P80" s="1"/>
      <c r="Q80" s="1"/>
      <c r="R80" s="1"/>
      <c r="S80" s="1"/>
      <c r="T80" s="2"/>
    </row>
    <row r="81" spans="1:20" ht="43.5">
      <c r="A81" s="5" t="s">
        <v>141</v>
      </c>
      <c r="B81" s="5" t="s">
        <v>142</v>
      </c>
      <c r="C81" s="6">
        <v>2</v>
      </c>
      <c r="D81" s="5" t="s">
        <v>146</v>
      </c>
      <c r="E81" s="7">
        <v>25</v>
      </c>
      <c r="F81" s="7" t="s">
        <v>144</v>
      </c>
      <c r="G81" s="7">
        <v>25</v>
      </c>
      <c r="H81" s="7" t="s">
        <v>43</v>
      </c>
      <c r="I81" s="7">
        <v>24.5</v>
      </c>
      <c r="J81" s="7">
        <v>25.5</v>
      </c>
      <c r="K81" s="7"/>
      <c r="L81" s="6" t="str">
        <f t="shared" si="1"/>
        <v/>
      </c>
      <c r="M81" s="5" t="s">
        <v>145</v>
      </c>
      <c r="N81" s="1"/>
      <c r="O81" s="1"/>
      <c r="P81" s="1"/>
      <c r="Q81" s="1"/>
      <c r="R81" s="1"/>
      <c r="S81" s="1"/>
      <c r="T81" s="2"/>
    </row>
    <row r="82" spans="1:20" ht="43.5">
      <c r="A82" s="5" t="s">
        <v>141</v>
      </c>
      <c r="B82" s="5" t="s">
        <v>142</v>
      </c>
      <c r="C82" s="6">
        <v>3</v>
      </c>
      <c r="D82" s="5" t="s">
        <v>147</v>
      </c>
      <c r="E82" s="7">
        <v>50</v>
      </c>
      <c r="F82" s="7" t="s">
        <v>144</v>
      </c>
      <c r="G82" s="7">
        <v>50</v>
      </c>
      <c r="H82" s="7" t="s">
        <v>43</v>
      </c>
      <c r="I82" s="7">
        <v>49.5</v>
      </c>
      <c r="J82" s="7">
        <v>50.5</v>
      </c>
      <c r="K82" s="7"/>
      <c r="L82" s="6" t="str">
        <f t="shared" si="1"/>
        <v/>
      </c>
      <c r="M82" s="5" t="s">
        <v>145</v>
      </c>
      <c r="N82" s="1"/>
      <c r="O82" s="1"/>
      <c r="P82" s="1"/>
      <c r="Q82" s="1"/>
      <c r="R82" s="1"/>
      <c r="S82" s="1"/>
      <c r="T82" s="2"/>
    </row>
    <row r="83" spans="1:20" ht="43.5">
      <c r="A83" s="5" t="s">
        <v>141</v>
      </c>
      <c r="B83" s="5" t="s">
        <v>142</v>
      </c>
      <c r="C83" s="6">
        <v>4</v>
      </c>
      <c r="D83" s="5" t="s">
        <v>148</v>
      </c>
      <c r="E83" s="7">
        <v>75</v>
      </c>
      <c r="F83" s="7" t="s">
        <v>144</v>
      </c>
      <c r="G83" s="7">
        <v>75</v>
      </c>
      <c r="H83" s="7" t="s">
        <v>43</v>
      </c>
      <c r="I83" s="7">
        <v>74.5</v>
      </c>
      <c r="J83" s="7">
        <v>75.5</v>
      </c>
      <c r="K83" s="7"/>
      <c r="L83" s="6" t="str">
        <f t="shared" si="1"/>
        <v/>
      </c>
      <c r="M83" s="5" t="s">
        <v>145</v>
      </c>
      <c r="N83" s="1"/>
      <c r="O83" s="1"/>
      <c r="P83" s="1"/>
      <c r="Q83" s="1"/>
      <c r="R83" s="1"/>
      <c r="S83" s="1"/>
      <c r="T83" s="2"/>
    </row>
    <row r="84" spans="1:20" ht="43.5">
      <c r="A84" s="5" t="s">
        <v>141</v>
      </c>
      <c r="B84" s="5" t="s">
        <v>142</v>
      </c>
      <c r="C84" s="6">
        <v>5</v>
      </c>
      <c r="D84" s="5" t="s">
        <v>149</v>
      </c>
      <c r="E84" s="7">
        <v>100</v>
      </c>
      <c r="F84" s="7" t="s">
        <v>144</v>
      </c>
      <c r="G84" s="7">
        <v>100</v>
      </c>
      <c r="H84" s="7" t="s">
        <v>43</v>
      </c>
      <c r="I84" s="7">
        <v>99.5</v>
      </c>
      <c r="J84" s="7">
        <v>100.5</v>
      </c>
      <c r="K84" s="7"/>
      <c r="L84" s="6" t="str">
        <f t="shared" si="1"/>
        <v/>
      </c>
      <c r="M84" s="5" t="s">
        <v>145</v>
      </c>
      <c r="N84" s="1"/>
      <c r="O84" s="1"/>
      <c r="P84" s="1"/>
      <c r="Q84" s="1"/>
      <c r="R84" s="1"/>
      <c r="S84" s="1"/>
      <c r="T84" s="2"/>
    </row>
    <row r="85" spans="1:20" ht="29.25">
      <c r="A85" s="5" t="s">
        <v>150</v>
      </c>
      <c r="B85" s="5" t="s">
        <v>151</v>
      </c>
      <c r="C85" s="6">
        <v>1</v>
      </c>
      <c r="D85" s="5" t="s">
        <v>152</v>
      </c>
      <c r="E85" s="7">
        <v>25</v>
      </c>
      <c r="F85" s="7" t="s">
        <v>153</v>
      </c>
      <c r="G85" s="7">
        <v>25</v>
      </c>
      <c r="H85" s="7" t="s">
        <v>154</v>
      </c>
      <c r="I85" s="7">
        <v>24</v>
      </c>
      <c r="J85" s="7">
        <v>26</v>
      </c>
      <c r="K85" s="7">
        <v>24.99</v>
      </c>
      <c r="L85" s="6" t="str">
        <f t="shared" si="1"/>
        <v>PASS</v>
      </c>
      <c r="M85" s="5" t="s">
        <v>155</v>
      </c>
      <c r="N85" s="1"/>
      <c r="O85" s="1"/>
      <c r="P85" s="1"/>
      <c r="Q85" s="1"/>
      <c r="R85" s="1"/>
      <c r="S85" s="1"/>
      <c r="T85" s="2"/>
    </row>
    <row r="86" spans="1:20" ht="29.25">
      <c r="A86" s="5" t="s">
        <v>150</v>
      </c>
      <c r="B86" s="5" t="s">
        <v>151</v>
      </c>
      <c r="C86" s="6">
        <v>2</v>
      </c>
      <c r="D86" s="5" t="s">
        <v>156</v>
      </c>
      <c r="E86" s="7">
        <v>50</v>
      </c>
      <c r="F86" s="7" t="s">
        <v>153</v>
      </c>
      <c r="G86" s="7">
        <v>50</v>
      </c>
      <c r="H86" s="7" t="s">
        <v>154</v>
      </c>
      <c r="I86" s="7">
        <v>49</v>
      </c>
      <c r="J86" s="7">
        <v>51</v>
      </c>
      <c r="K86" s="7">
        <v>49.99</v>
      </c>
      <c r="L86" s="6" t="str">
        <f t="shared" si="1"/>
        <v>PASS</v>
      </c>
      <c r="M86" s="5" t="s">
        <v>155</v>
      </c>
      <c r="N86" s="1"/>
      <c r="O86" s="1"/>
      <c r="P86" s="1"/>
      <c r="Q86" s="1"/>
      <c r="R86" s="1"/>
      <c r="S86" s="1"/>
      <c r="T86" s="2"/>
    </row>
    <row r="87" spans="1:20" ht="29.25">
      <c r="A87" s="5" t="s">
        <v>150</v>
      </c>
      <c r="B87" s="5" t="s">
        <v>151</v>
      </c>
      <c r="C87" s="6">
        <v>3</v>
      </c>
      <c r="D87" s="5" t="s">
        <v>157</v>
      </c>
      <c r="E87" s="7">
        <v>75</v>
      </c>
      <c r="F87" s="7" t="s">
        <v>153</v>
      </c>
      <c r="G87" s="7">
        <v>75</v>
      </c>
      <c r="H87" s="7" t="s">
        <v>154</v>
      </c>
      <c r="I87" s="7">
        <v>74</v>
      </c>
      <c r="J87" s="7">
        <v>76</v>
      </c>
      <c r="K87" s="7">
        <v>74.989999999999995</v>
      </c>
      <c r="L87" s="6" t="str">
        <f t="shared" si="1"/>
        <v>PASS</v>
      </c>
      <c r="M87" s="5" t="s">
        <v>155</v>
      </c>
      <c r="N87" s="1"/>
      <c r="O87" s="1"/>
      <c r="P87" s="1"/>
      <c r="Q87" s="1"/>
      <c r="R87" s="1"/>
      <c r="S87" s="1"/>
      <c r="T87" s="2"/>
    </row>
    <row r="88" spans="1:20" ht="29.25">
      <c r="A88" s="5" t="s">
        <v>150</v>
      </c>
      <c r="B88" s="5" t="s">
        <v>151</v>
      </c>
      <c r="C88" s="6">
        <v>4</v>
      </c>
      <c r="D88" s="5" t="s">
        <v>158</v>
      </c>
      <c r="E88" s="7">
        <v>100</v>
      </c>
      <c r="F88" s="7" t="s">
        <v>153</v>
      </c>
      <c r="G88" s="7">
        <v>100</v>
      </c>
      <c r="H88" s="7" t="s">
        <v>154</v>
      </c>
      <c r="I88" s="7">
        <v>99</v>
      </c>
      <c r="J88" s="7">
        <v>101</v>
      </c>
      <c r="K88" s="7">
        <v>99.99</v>
      </c>
      <c r="L88" s="6" t="str">
        <f t="shared" si="1"/>
        <v>PASS</v>
      </c>
      <c r="M88" s="5" t="s">
        <v>155</v>
      </c>
      <c r="N88" s="1"/>
      <c r="O88" s="1"/>
      <c r="P88" s="1"/>
      <c r="Q88" s="1"/>
      <c r="R88" s="1"/>
      <c r="S88" s="1"/>
      <c r="T88" s="2"/>
    </row>
    <row r="89" spans="1:20" ht="29.1">
      <c r="A89" s="5" t="s">
        <v>159</v>
      </c>
      <c r="B89" s="5" t="s">
        <v>160</v>
      </c>
      <c r="C89" s="6">
        <v>1</v>
      </c>
      <c r="D89" s="5" t="s">
        <v>161</v>
      </c>
      <c r="E89" s="7">
        <v>25</v>
      </c>
      <c r="F89" s="7" t="s">
        <v>153</v>
      </c>
      <c r="G89" s="7">
        <v>25</v>
      </c>
      <c r="H89" s="7" t="s">
        <v>162</v>
      </c>
      <c r="I89" s="7">
        <v>23</v>
      </c>
      <c r="J89" s="7">
        <v>27</v>
      </c>
      <c r="K89" s="7"/>
      <c r="L89" s="6" t="str">
        <f t="shared" si="1"/>
        <v/>
      </c>
      <c r="M89" s="5" t="s">
        <v>163</v>
      </c>
      <c r="N89" s="1"/>
      <c r="O89" s="1"/>
      <c r="P89" s="1"/>
      <c r="Q89" s="1"/>
      <c r="R89" s="1"/>
      <c r="S89" s="1"/>
      <c r="T89" s="2"/>
    </row>
    <row r="90" spans="1:20" ht="29.1">
      <c r="A90" s="5" t="s">
        <v>159</v>
      </c>
      <c r="B90" s="5" t="s">
        <v>160</v>
      </c>
      <c r="C90" s="6">
        <v>2</v>
      </c>
      <c r="D90" s="5" t="s">
        <v>164</v>
      </c>
      <c r="E90" s="7">
        <v>50</v>
      </c>
      <c r="F90" s="7" t="s">
        <v>153</v>
      </c>
      <c r="G90" s="7">
        <v>50</v>
      </c>
      <c r="H90" s="7" t="s">
        <v>162</v>
      </c>
      <c r="I90" s="7">
        <v>48</v>
      </c>
      <c r="J90" s="7">
        <v>52</v>
      </c>
      <c r="K90" s="7"/>
      <c r="L90" s="6" t="str">
        <f t="shared" si="1"/>
        <v/>
      </c>
      <c r="M90" s="5" t="s">
        <v>163</v>
      </c>
      <c r="N90" s="1"/>
      <c r="O90" s="1"/>
      <c r="P90" s="1"/>
      <c r="Q90" s="1"/>
      <c r="R90" s="1"/>
      <c r="S90" s="1"/>
      <c r="T90" s="2"/>
    </row>
    <row r="91" spans="1:20" ht="29.1">
      <c r="A91" s="5" t="s">
        <v>159</v>
      </c>
      <c r="B91" s="5" t="s">
        <v>160</v>
      </c>
      <c r="C91" s="6">
        <v>3</v>
      </c>
      <c r="D91" s="5" t="s">
        <v>165</v>
      </c>
      <c r="E91" s="7">
        <v>75</v>
      </c>
      <c r="F91" s="7" t="s">
        <v>153</v>
      </c>
      <c r="G91" s="7">
        <v>75</v>
      </c>
      <c r="H91" s="7" t="s">
        <v>162</v>
      </c>
      <c r="I91" s="7">
        <v>73</v>
      </c>
      <c r="J91" s="7">
        <v>77</v>
      </c>
      <c r="K91" s="7"/>
      <c r="L91" s="6" t="str">
        <f t="shared" si="1"/>
        <v/>
      </c>
      <c r="M91" s="5" t="s">
        <v>163</v>
      </c>
      <c r="N91" s="1"/>
      <c r="O91" s="1"/>
      <c r="P91" s="1"/>
      <c r="Q91" s="1"/>
      <c r="R91" s="1"/>
      <c r="S91" s="1"/>
      <c r="T91" s="2"/>
    </row>
    <row r="92" spans="1:20" ht="29.1">
      <c r="A92" s="5" t="s">
        <v>159</v>
      </c>
      <c r="B92" s="5" t="s">
        <v>160</v>
      </c>
      <c r="C92" s="6">
        <v>4</v>
      </c>
      <c r="D92" s="5" t="s">
        <v>166</v>
      </c>
      <c r="E92" s="7">
        <v>100</v>
      </c>
      <c r="F92" s="7" t="s">
        <v>153</v>
      </c>
      <c r="G92" s="7">
        <v>100</v>
      </c>
      <c r="H92" s="7" t="s">
        <v>162</v>
      </c>
      <c r="I92" s="7">
        <v>98</v>
      </c>
      <c r="J92" s="7">
        <v>102</v>
      </c>
      <c r="K92" s="7"/>
      <c r="L92" s="6" t="str">
        <f t="shared" si="1"/>
        <v/>
      </c>
      <c r="M92" s="5" t="s">
        <v>163</v>
      </c>
      <c r="N92" s="1"/>
      <c r="O92" s="1"/>
      <c r="P92" s="1"/>
      <c r="Q92" s="1"/>
      <c r="R92" s="1"/>
      <c r="S92" s="1"/>
      <c r="T92" s="2"/>
    </row>
    <row r="93" spans="1:20" ht="29.1">
      <c r="A93" s="5" t="s">
        <v>167</v>
      </c>
      <c r="B93" s="5" t="s">
        <v>168</v>
      </c>
      <c r="C93" s="6">
        <v>1</v>
      </c>
      <c r="D93" s="5" t="s">
        <v>169</v>
      </c>
      <c r="E93" s="7">
        <v>1</v>
      </c>
      <c r="F93" s="7" t="s">
        <v>170</v>
      </c>
      <c r="G93" s="7">
        <v>1</v>
      </c>
      <c r="H93" s="7" t="s">
        <v>170</v>
      </c>
      <c r="I93" s="7">
        <v>0.999</v>
      </c>
      <c r="J93" s="7">
        <v>1.0009999999999999</v>
      </c>
      <c r="K93" s="7"/>
      <c r="L93" s="6" t="str">
        <f t="shared" si="1"/>
        <v/>
      </c>
      <c r="M93" s="5" t="s">
        <v>171</v>
      </c>
      <c r="N93" s="1"/>
      <c r="O93" s="1"/>
      <c r="P93" s="1"/>
      <c r="Q93" s="1"/>
      <c r="R93" s="1"/>
      <c r="S93" s="1"/>
      <c r="T93" s="2"/>
    </row>
    <row r="94" spans="1:20" ht="29.1">
      <c r="A94" s="5" t="s">
        <v>167</v>
      </c>
      <c r="B94" s="5" t="s">
        <v>168</v>
      </c>
      <c r="C94" s="6">
        <v>2</v>
      </c>
      <c r="D94" s="5" t="s">
        <v>172</v>
      </c>
      <c r="E94" s="7">
        <v>3</v>
      </c>
      <c r="F94" s="7" t="s">
        <v>170</v>
      </c>
      <c r="G94" s="7">
        <v>3</v>
      </c>
      <c r="H94" s="7" t="s">
        <v>170</v>
      </c>
      <c r="I94" s="7">
        <v>2.9969999999999999</v>
      </c>
      <c r="J94" s="7">
        <v>3.0030000000000001</v>
      </c>
      <c r="K94" s="7"/>
      <c r="L94" s="6" t="str">
        <f t="shared" si="1"/>
        <v/>
      </c>
      <c r="M94" s="5" t="s">
        <v>171</v>
      </c>
      <c r="N94" s="1"/>
      <c r="O94" s="1"/>
      <c r="P94" s="1"/>
      <c r="Q94" s="1"/>
      <c r="R94" s="1"/>
      <c r="S94" s="1"/>
      <c r="T94" s="2"/>
    </row>
    <row r="95" spans="1:20" ht="29.1">
      <c r="A95" s="5" t="s">
        <v>167</v>
      </c>
      <c r="B95" s="5" t="s">
        <v>168</v>
      </c>
      <c r="C95" s="6">
        <v>3</v>
      </c>
      <c r="D95" s="5" t="s">
        <v>173</v>
      </c>
      <c r="E95" s="7">
        <v>5</v>
      </c>
      <c r="F95" s="7" t="s">
        <v>170</v>
      </c>
      <c r="G95" s="7">
        <v>5</v>
      </c>
      <c r="H95" s="7" t="s">
        <v>170</v>
      </c>
      <c r="I95" s="7">
        <v>4.9950000000000001</v>
      </c>
      <c r="J95" s="7">
        <v>5.0049999999999999</v>
      </c>
      <c r="K95" s="7"/>
      <c r="L95" s="6" t="str">
        <f t="shared" si="1"/>
        <v/>
      </c>
      <c r="M95" s="5" t="s">
        <v>171</v>
      </c>
      <c r="N95" s="1"/>
      <c r="O95" s="1"/>
      <c r="P95" s="1"/>
      <c r="Q95" s="1"/>
      <c r="R95" s="1"/>
      <c r="S95" s="1"/>
      <c r="T95" s="2"/>
    </row>
    <row r="96" spans="1:20" ht="29.1">
      <c r="A96" s="5" t="s">
        <v>167</v>
      </c>
      <c r="B96" s="5" t="s">
        <v>168</v>
      </c>
      <c r="C96" s="6">
        <v>4</v>
      </c>
      <c r="D96" s="5" t="s">
        <v>174</v>
      </c>
      <c r="E96" s="7">
        <v>10</v>
      </c>
      <c r="F96" s="7" t="s">
        <v>170</v>
      </c>
      <c r="G96" s="7">
        <v>10</v>
      </c>
      <c r="H96" s="7" t="s">
        <v>170</v>
      </c>
      <c r="I96" s="7">
        <v>9.99</v>
      </c>
      <c r="J96" s="7">
        <v>10.01</v>
      </c>
      <c r="K96" s="7"/>
      <c r="L96" s="6" t="str">
        <f t="shared" si="1"/>
        <v/>
      </c>
      <c r="M96" s="5" t="s">
        <v>171</v>
      </c>
      <c r="N96" s="1"/>
      <c r="O96" s="1"/>
      <c r="P96" s="1"/>
      <c r="Q96" s="1"/>
      <c r="R96" s="1"/>
      <c r="S96" s="1"/>
      <c r="T96" s="2"/>
    </row>
    <row r="97" spans="1:20" ht="29.1">
      <c r="A97" s="5" t="s">
        <v>167</v>
      </c>
      <c r="B97" s="5" t="s">
        <v>168</v>
      </c>
      <c r="C97" s="6">
        <v>5</v>
      </c>
      <c r="D97" s="5" t="s">
        <v>175</v>
      </c>
      <c r="E97" s="7">
        <v>20</v>
      </c>
      <c r="F97" s="7" t="s">
        <v>170</v>
      </c>
      <c r="G97" s="7">
        <v>20</v>
      </c>
      <c r="H97" s="7" t="s">
        <v>170</v>
      </c>
      <c r="I97" s="7">
        <v>19.98</v>
      </c>
      <c r="J97" s="7">
        <v>20.02</v>
      </c>
      <c r="K97" s="7"/>
      <c r="L97" s="6" t="str">
        <f t="shared" si="1"/>
        <v/>
      </c>
      <c r="M97" s="5" t="s">
        <v>171</v>
      </c>
      <c r="N97" s="1"/>
      <c r="O97" s="1"/>
      <c r="P97" s="1"/>
      <c r="Q97" s="1"/>
      <c r="R97" s="1"/>
      <c r="S97" s="1"/>
      <c r="T97" s="2"/>
    </row>
    <row r="98" spans="1:20" ht="29.25">
      <c r="A98" s="5" t="s">
        <v>176</v>
      </c>
      <c r="B98" s="5" t="s">
        <v>177</v>
      </c>
      <c r="C98" s="6">
        <v>1</v>
      </c>
      <c r="D98" s="5" t="s">
        <v>178</v>
      </c>
      <c r="E98" s="7">
        <v>33.299999999999997</v>
      </c>
      <c r="F98" s="7" t="s">
        <v>179</v>
      </c>
      <c r="G98" s="7">
        <v>2</v>
      </c>
      <c r="H98" s="7" t="s">
        <v>180</v>
      </c>
      <c r="I98" s="7">
        <v>1.8</v>
      </c>
      <c r="J98" s="7">
        <v>2.2000000000000002</v>
      </c>
      <c r="K98" s="7">
        <v>1.998</v>
      </c>
      <c r="L98" s="6" t="str">
        <f t="shared" si="1"/>
        <v>PASS</v>
      </c>
      <c r="M98" s="5" t="s">
        <v>181</v>
      </c>
      <c r="N98" s="1"/>
      <c r="O98" s="1"/>
      <c r="P98" s="1"/>
      <c r="Q98" s="1"/>
      <c r="R98" s="1"/>
      <c r="S98" s="1"/>
      <c r="T98" s="2"/>
    </row>
    <row r="99" spans="1:20" ht="29.25">
      <c r="A99" s="5" t="s">
        <v>176</v>
      </c>
      <c r="B99" s="5" t="s">
        <v>177</v>
      </c>
      <c r="C99" s="6">
        <v>2</v>
      </c>
      <c r="D99" s="5" t="s">
        <v>182</v>
      </c>
      <c r="E99" s="7">
        <v>83.25</v>
      </c>
      <c r="F99" s="7" t="s">
        <v>179</v>
      </c>
      <c r="G99" s="7">
        <v>5</v>
      </c>
      <c r="H99" s="7" t="s">
        <v>180</v>
      </c>
      <c r="I99" s="7">
        <v>4.8</v>
      </c>
      <c r="J99" s="7">
        <v>5.2</v>
      </c>
      <c r="K99" s="7">
        <v>4.9960000000000004</v>
      </c>
      <c r="L99" s="6" t="str">
        <f t="shared" si="1"/>
        <v>PASS</v>
      </c>
      <c r="M99" s="5" t="s">
        <v>181</v>
      </c>
      <c r="N99" s="1"/>
      <c r="O99" s="1"/>
      <c r="P99" s="1"/>
      <c r="Q99" s="1"/>
      <c r="R99" s="1"/>
      <c r="S99" s="1"/>
      <c r="T99" s="2"/>
    </row>
    <row r="100" spans="1:20" ht="29.25">
      <c r="A100" s="5" t="s">
        <v>176</v>
      </c>
      <c r="B100" s="5" t="s">
        <v>177</v>
      </c>
      <c r="C100" s="6">
        <v>3</v>
      </c>
      <c r="D100" s="5" t="s">
        <v>183</v>
      </c>
      <c r="E100" s="7">
        <v>166.5</v>
      </c>
      <c r="F100" s="7" t="s">
        <v>179</v>
      </c>
      <c r="G100" s="7">
        <v>10</v>
      </c>
      <c r="H100" s="7" t="s">
        <v>180</v>
      </c>
      <c r="I100" s="7">
        <v>9.8000000000000007</v>
      </c>
      <c r="J100" s="7">
        <v>10.199999999999999</v>
      </c>
      <c r="K100" s="7">
        <v>9.9939999999999998</v>
      </c>
      <c r="L100" s="6" t="str">
        <f t="shared" si="1"/>
        <v>PASS</v>
      </c>
      <c r="M100" s="5" t="s">
        <v>181</v>
      </c>
      <c r="N100" s="1"/>
      <c r="O100" s="1"/>
      <c r="P100" s="1"/>
      <c r="Q100" s="1"/>
      <c r="R100" s="1"/>
      <c r="S100" s="1"/>
      <c r="T100" s="2"/>
    </row>
    <row r="101" spans="1:20" ht="29.25">
      <c r="A101" s="5" t="s">
        <v>176</v>
      </c>
      <c r="B101" s="5" t="s">
        <v>177</v>
      </c>
      <c r="C101" s="6">
        <v>4</v>
      </c>
      <c r="D101" s="5" t="s">
        <v>184</v>
      </c>
      <c r="E101" s="7">
        <v>249.75</v>
      </c>
      <c r="F101" s="7" t="s">
        <v>179</v>
      </c>
      <c r="G101" s="7">
        <v>15</v>
      </c>
      <c r="H101" s="7" t="s">
        <v>180</v>
      </c>
      <c r="I101" s="7">
        <v>14.8</v>
      </c>
      <c r="J101" s="7">
        <v>15.2</v>
      </c>
      <c r="K101" s="7">
        <v>14.99</v>
      </c>
      <c r="L101" s="6" t="str">
        <f t="shared" si="1"/>
        <v>PASS</v>
      </c>
      <c r="M101" s="5" t="s">
        <v>181</v>
      </c>
      <c r="N101" s="1"/>
      <c r="O101" s="1"/>
      <c r="P101" s="1"/>
      <c r="Q101" s="1"/>
      <c r="R101" s="1"/>
      <c r="S101" s="1"/>
      <c r="T101" s="2"/>
    </row>
    <row r="102" spans="1:20" ht="29.25">
      <c r="A102" s="5" t="s">
        <v>176</v>
      </c>
      <c r="B102" s="5" t="s">
        <v>177</v>
      </c>
      <c r="C102" s="6">
        <v>5</v>
      </c>
      <c r="D102" s="5" t="s">
        <v>185</v>
      </c>
      <c r="E102" s="7">
        <v>333</v>
      </c>
      <c r="F102" s="7" t="s">
        <v>179</v>
      </c>
      <c r="G102" s="7">
        <v>20</v>
      </c>
      <c r="H102" s="7" t="s">
        <v>180</v>
      </c>
      <c r="I102" s="7">
        <v>19.8</v>
      </c>
      <c r="J102" s="7">
        <v>20.2</v>
      </c>
      <c r="K102" s="7">
        <v>19.989999999999998</v>
      </c>
      <c r="L102" s="6" t="str">
        <f t="shared" si="1"/>
        <v>PASS</v>
      </c>
      <c r="M102" s="5" t="s">
        <v>181</v>
      </c>
      <c r="N102" s="1"/>
      <c r="O102" s="1"/>
      <c r="P102" s="1"/>
      <c r="Q102" s="1"/>
      <c r="R102" s="1"/>
      <c r="S102" s="1"/>
      <c r="T102" s="2"/>
    </row>
    <row r="103" spans="1:20" ht="29.1">
      <c r="A103" s="5" t="s">
        <v>186</v>
      </c>
      <c r="B103" s="5" t="s">
        <v>187</v>
      </c>
      <c r="C103" s="6">
        <v>1</v>
      </c>
      <c r="D103" s="5" t="s">
        <v>188</v>
      </c>
      <c r="E103" s="7">
        <v>33.299999999999997</v>
      </c>
      <c r="F103" s="7" t="s">
        <v>179</v>
      </c>
      <c r="G103" s="7">
        <v>2</v>
      </c>
      <c r="H103" s="7" t="s">
        <v>43</v>
      </c>
      <c r="I103" s="7">
        <v>1.8</v>
      </c>
      <c r="J103" s="7">
        <v>2.2000000000000002</v>
      </c>
      <c r="K103" s="7"/>
      <c r="L103" s="6" t="str">
        <f t="shared" si="1"/>
        <v/>
      </c>
      <c r="M103" s="5" t="s">
        <v>189</v>
      </c>
      <c r="N103" s="1"/>
      <c r="O103" s="1"/>
      <c r="P103" s="1"/>
      <c r="Q103" s="1"/>
      <c r="R103" s="1"/>
      <c r="S103" s="1"/>
      <c r="T103" s="2"/>
    </row>
    <row r="104" spans="1:20" ht="29.1">
      <c r="A104" s="5" t="s">
        <v>186</v>
      </c>
      <c r="B104" s="5" t="s">
        <v>187</v>
      </c>
      <c r="C104" s="6">
        <v>2</v>
      </c>
      <c r="D104" s="5" t="s">
        <v>190</v>
      </c>
      <c r="E104" s="7">
        <v>83.25</v>
      </c>
      <c r="F104" s="7" t="s">
        <v>179</v>
      </c>
      <c r="G104" s="7">
        <v>5</v>
      </c>
      <c r="H104" s="7" t="s">
        <v>43</v>
      </c>
      <c r="I104" s="7">
        <v>4.8</v>
      </c>
      <c r="J104" s="7">
        <v>5.2</v>
      </c>
      <c r="K104" s="7"/>
      <c r="L104" s="6" t="str">
        <f t="shared" si="1"/>
        <v/>
      </c>
      <c r="M104" s="5" t="s">
        <v>189</v>
      </c>
      <c r="N104" s="1"/>
      <c r="O104" s="1"/>
      <c r="P104" s="1"/>
      <c r="Q104" s="1"/>
      <c r="R104" s="1"/>
      <c r="S104" s="1"/>
      <c r="T104" s="2"/>
    </row>
    <row r="105" spans="1:20" ht="29.1">
      <c r="A105" s="5" t="s">
        <v>186</v>
      </c>
      <c r="B105" s="5" t="s">
        <v>187</v>
      </c>
      <c r="C105" s="6">
        <v>3</v>
      </c>
      <c r="D105" s="5" t="s">
        <v>191</v>
      </c>
      <c r="E105" s="7">
        <v>166.5</v>
      </c>
      <c r="F105" s="7" t="s">
        <v>179</v>
      </c>
      <c r="G105" s="7">
        <v>10</v>
      </c>
      <c r="H105" s="7" t="s">
        <v>43</v>
      </c>
      <c r="I105" s="7">
        <v>9.8000000000000007</v>
      </c>
      <c r="J105" s="7">
        <v>10.199999999999999</v>
      </c>
      <c r="K105" s="7"/>
      <c r="L105" s="6" t="str">
        <f t="shared" si="1"/>
        <v/>
      </c>
      <c r="M105" s="5" t="s">
        <v>189</v>
      </c>
      <c r="N105" s="1"/>
      <c r="O105" s="1"/>
      <c r="P105" s="1"/>
      <c r="Q105" s="1"/>
      <c r="R105" s="1"/>
      <c r="S105" s="1"/>
      <c r="T105" s="2"/>
    </row>
    <row r="106" spans="1:20" ht="29.1">
      <c r="A106" s="5" t="s">
        <v>186</v>
      </c>
      <c r="B106" s="5" t="s">
        <v>187</v>
      </c>
      <c r="C106" s="6">
        <v>4</v>
      </c>
      <c r="D106" s="5" t="s">
        <v>192</v>
      </c>
      <c r="E106" s="7">
        <v>249.75</v>
      </c>
      <c r="F106" s="7" t="s">
        <v>179</v>
      </c>
      <c r="G106" s="7">
        <v>15</v>
      </c>
      <c r="H106" s="7" t="s">
        <v>43</v>
      </c>
      <c r="I106" s="7">
        <v>14.8</v>
      </c>
      <c r="J106" s="7">
        <v>15.2</v>
      </c>
      <c r="K106" s="7"/>
      <c r="L106" s="6" t="str">
        <f t="shared" si="1"/>
        <v/>
      </c>
      <c r="M106" s="5" t="s">
        <v>189</v>
      </c>
      <c r="N106" s="1"/>
      <c r="O106" s="1"/>
      <c r="P106" s="1"/>
      <c r="Q106" s="1"/>
      <c r="R106" s="1"/>
      <c r="S106" s="1"/>
      <c r="T106" s="2"/>
    </row>
    <row r="107" spans="1:20" ht="29.1">
      <c r="A107" s="5" t="s">
        <v>186</v>
      </c>
      <c r="B107" s="5" t="s">
        <v>187</v>
      </c>
      <c r="C107" s="6">
        <v>5</v>
      </c>
      <c r="D107" s="5" t="s">
        <v>193</v>
      </c>
      <c r="E107" s="7">
        <v>333</v>
      </c>
      <c r="F107" s="7" t="s">
        <v>179</v>
      </c>
      <c r="G107" s="7">
        <v>20</v>
      </c>
      <c r="H107" s="7" t="s">
        <v>43</v>
      </c>
      <c r="I107" s="7">
        <v>19.8</v>
      </c>
      <c r="J107" s="7">
        <v>20.2</v>
      </c>
      <c r="K107" s="7"/>
      <c r="L107" s="6" t="str">
        <f t="shared" si="1"/>
        <v/>
      </c>
      <c r="M107" s="5" t="s">
        <v>189</v>
      </c>
      <c r="N107" s="1"/>
      <c r="O107" s="1"/>
      <c r="P107" s="1"/>
      <c r="Q107" s="1"/>
      <c r="R107" s="1"/>
      <c r="S107" s="1"/>
      <c r="T107" s="2"/>
    </row>
    <row r="108" spans="1:20" ht="29.1">
      <c r="A108" s="5" t="s">
        <v>194</v>
      </c>
      <c r="B108" s="5" t="s">
        <v>195</v>
      </c>
      <c r="C108" s="6">
        <v>1</v>
      </c>
      <c r="D108" s="5" t="s">
        <v>196</v>
      </c>
      <c r="E108" s="7">
        <v>33.299999999999997</v>
      </c>
      <c r="F108" s="7" t="s">
        <v>179</v>
      </c>
      <c r="G108" s="7">
        <v>2</v>
      </c>
      <c r="H108" s="7" t="s">
        <v>197</v>
      </c>
      <c r="I108" s="7">
        <v>1.6</v>
      </c>
      <c r="J108" s="7">
        <v>2.4</v>
      </c>
      <c r="K108" s="7"/>
      <c r="L108" s="6" t="str">
        <f t="shared" si="1"/>
        <v/>
      </c>
      <c r="M108" s="5" t="s">
        <v>198</v>
      </c>
      <c r="N108" s="1"/>
      <c r="O108" s="1"/>
      <c r="P108" s="1"/>
      <c r="Q108" s="1"/>
      <c r="R108" s="1"/>
      <c r="S108" s="1"/>
      <c r="T108" s="2"/>
    </row>
    <row r="109" spans="1:20" ht="29.1">
      <c r="A109" s="5" t="s">
        <v>194</v>
      </c>
      <c r="B109" s="5" t="s">
        <v>195</v>
      </c>
      <c r="C109" s="6">
        <v>2</v>
      </c>
      <c r="D109" s="5" t="s">
        <v>199</v>
      </c>
      <c r="E109" s="7">
        <v>83.25</v>
      </c>
      <c r="F109" s="7" t="s">
        <v>179</v>
      </c>
      <c r="G109" s="7">
        <v>5</v>
      </c>
      <c r="H109" s="7" t="s">
        <v>197</v>
      </c>
      <c r="I109" s="7">
        <v>4.5999999999999996</v>
      </c>
      <c r="J109" s="7">
        <v>5.4</v>
      </c>
      <c r="K109" s="7"/>
      <c r="L109" s="6" t="str">
        <f t="shared" si="1"/>
        <v/>
      </c>
      <c r="M109" s="5" t="s">
        <v>198</v>
      </c>
      <c r="N109" s="1"/>
      <c r="O109" s="1"/>
      <c r="P109" s="1"/>
      <c r="Q109" s="1"/>
      <c r="R109" s="1"/>
      <c r="S109" s="1"/>
      <c r="T109" s="2"/>
    </row>
    <row r="110" spans="1:20" ht="29.1">
      <c r="A110" s="5" t="s">
        <v>194</v>
      </c>
      <c r="B110" s="5" t="s">
        <v>195</v>
      </c>
      <c r="C110" s="6">
        <v>3</v>
      </c>
      <c r="D110" s="5" t="s">
        <v>200</v>
      </c>
      <c r="E110" s="7">
        <v>166.5</v>
      </c>
      <c r="F110" s="7" t="s">
        <v>179</v>
      </c>
      <c r="G110" s="7">
        <v>10</v>
      </c>
      <c r="H110" s="7" t="s">
        <v>197</v>
      </c>
      <c r="I110" s="7">
        <v>9.6</v>
      </c>
      <c r="J110" s="7">
        <v>10.4</v>
      </c>
      <c r="K110" s="7"/>
      <c r="L110" s="6" t="str">
        <f t="shared" si="1"/>
        <v/>
      </c>
      <c r="M110" s="5" t="s">
        <v>198</v>
      </c>
      <c r="N110" s="1"/>
      <c r="O110" s="1"/>
      <c r="P110" s="1"/>
      <c r="Q110" s="1"/>
      <c r="R110" s="1"/>
      <c r="S110" s="1"/>
      <c r="T110" s="2"/>
    </row>
    <row r="111" spans="1:20" ht="29.1">
      <c r="A111" s="5" t="s">
        <v>194</v>
      </c>
      <c r="B111" s="5" t="s">
        <v>195</v>
      </c>
      <c r="C111" s="6">
        <v>4</v>
      </c>
      <c r="D111" s="5" t="s">
        <v>201</v>
      </c>
      <c r="E111" s="7">
        <v>249.75</v>
      </c>
      <c r="F111" s="7" t="s">
        <v>179</v>
      </c>
      <c r="G111" s="7">
        <v>15</v>
      </c>
      <c r="H111" s="7" t="s">
        <v>197</v>
      </c>
      <c r="I111" s="7">
        <v>14.6</v>
      </c>
      <c r="J111" s="7">
        <v>15.4</v>
      </c>
      <c r="K111" s="7"/>
      <c r="L111" s="6" t="str">
        <f t="shared" si="1"/>
        <v/>
      </c>
      <c r="M111" s="5" t="s">
        <v>198</v>
      </c>
      <c r="N111" s="1"/>
      <c r="O111" s="1"/>
      <c r="P111" s="1"/>
      <c r="Q111" s="1"/>
      <c r="R111" s="1"/>
      <c r="S111" s="1"/>
      <c r="T111" s="2"/>
    </row>
    <row r="112" spans="1:20" ht="29.1">
      <c r="A112" s="5" t="s">
        <v>194</v>
      </c>
      <c r="B112" s="5" t="s">
        <v>195</v>
      </c>
      <c r="C112" s="6">
        <v>5</v>
      </c>
      <c r="D112" s="5" t="s">
        <v>202</v>
      </c>
      <c r="E112" s="7">
        <v>333</v>
      </c>
      <c r="F112" s="7" t="s">
        <v>179</v>
      </c>
      <c r="G112" s="7">
        <v>20</v>
      </c>
      <c r="H112" s="7" t="s">
        <v>197</v>
      </c>
      <c r="I112" s="7">
        <v>19.600000000000001</v>
      </c>
      <c r="J112" s="7">
        <v>20.399999999999999</v>
      </c>
      <c r="K112" s="7"/>
      <c r="L112" s="6" t="str">
        <f t="shared" si="1"/>
        <v/>
      </c>
      <c r="M112" s="5" t="s">
        <v>198</v>
      </c>
      <c r="N112" s="1"/>
      <c r="O112" s="1"/>
      <c r="P112" s="1"/>
      <c r="Q112" s="1"/>
      <c r="R112" s="1"/>
      <c r="S112" s="1"/>
      <c r="T112" s="2"/>
    </row>
    <row r="113" spans="1:20" ht="29.1">
      <c r="A113" s="5" t="s">
        <v>203</v>
      </c>
      <c r="B113" s="5" t="s">
        <v>204</v>
      </c>
      <c r="C113" s="6">
        <v>1</v>
      </c>
      <c r="D113" s="5" t="s">
        <v>205</v>
      </c>
      <c r="E113" s="7">
        <v>83.25</v>
      </c>
      <c r="F113" s="7" t="s">
        <v>179</v>
      </c>
      <c r="G113" s="7">
        <v>5</v>
      </c>
      <c r="H113" s="7" t="s">
        <v>180</v>
      </c>
      <c r="I113" s="7">
        <v>4.4000000000000004</v>
      </c>
      <c r="J113" s="7">
        <v>5.6</v>
      </c>
      <c r="K113" s="7"/>
      <c r="L113" s="6" t="str">
        <f t="shared" si="1"/>
        <v/>
      </c>
      <c r="M113" s="5" t="s">
        <v>206</v>
      </c>
      <c r="N113" s="1"/>
      <c r="O113" s="1"/>
      <c r="P113" s="1"/>
      <c r="Q113" s="1"/>
      <c r="R113" s="1"/>
      <c r="S113" s="1"/>
      <c r="T113" s="2"/>
    </row>
    <row r="114" spans="1:20" ht="29.1">
      <c r="A114" s="5" t="s">
        <v>203</v>
      </c>
      <c r="B114" s="5" t="s">
        <v>204</v>
      </c>
      <c r="C114" s="6">
        <v>2</v>
      </c>
      <c r="D114" s="5" t="s">
        <v>207</v>
      </c>
      <c r="E114" s="7">
        <v>166.5</v>
      </c>
      <c r="F114" s="7" t="s">
        <v>179</v>
      </c>
      <c r="G114" s="7">
        <v>10</v>
      </c>
      <c r="H114" s="7" t="s">
        <v>180</v>
      </c>
      <c r="I114" s="7">
        <v>9.4</v>
      </c>
      <c r="J114" s="7">
        <v>10.6</v>
      </c>
      <c r="K114" s="7"/>
      <c r="L114" s="6" t="str">
        <f t="shared" si="1"/>
        <v/>
      </c>
      <c r="M114" s="5" t="s">
        <v>206</v>
      </c>
      <c r="N114" s="1"/>
      <c r="O114" s="1"/>
      <c r="P114" s="1"/>
      <c r="Q114" s="1"/>
      <c r="R114" s="1"/>
      <c r="S114" s="1"/>
      <c r="T114" s="2"/>
    </row>
    <row r="115" spans="1:20" ht="29.1">
      <c r="A115" s="5" t="s">
        <v>203</v>
      </c>
      <c r="B115" s="5" t="s">
        <v>204</v>
      </c>
      <c r="C115" s="6">
        <v>3</v>
      </c>
      <c r="D115" s="5" t="s">
        <v>208</v>
      </c>
      <c r="E115" s="7">
        <v>249.75</v>
      </c>
      <c r="F115" s="7" t="s">
        <v>179</v>
      </c>
      <c r="G115" s="7">
        <v>15</v>
      </c>
      <c r="H115" s="7" t="s">
        <v>180</v>
      </c>
      <c r="I115" s="7">
        <v>14.4</v>
      </c>
      <c r="J115" s="7">
        <v>15.6</v>
      </c>
      <c r="K115" s="7"/>
      <c r="L115" s="6" t="str">
        <f t="shared" si="1"/>
        <v/>
      </c>
      <c r="M115" s="5" t="s">
        <v>206</v>
      </c>
      <c r="N115" s="1"/>
      <c r="O115" s="1"/>
      <c r="P115" s="1"/>
      <c r="Q115" s="1"/>
      <c r="R115" s="1"/>
      <c r="S115" s="1"/>
      <c r="T115" s="2"/>
    </row>
    <row r="116" spans="1:20" ht="29.1">
      <c r="A116" s="5" t="s">
        <v>203</v>
      </c>
      <c r="B116" s="5" t="s">
        <v>204</v>
      </c>
      <c r="C116" s="6">
        <v>4</v>
      </c>
      <c r="D116" s="5" t="s">
        <v>209</v>
      </c>
      <c r="E116" s="7">
        <v>333</v>
      </c>
      <c r="F116" s="7" t="s">
        <v>179</v>
      </c>
      <c r="G116" s="7">
        <v>20</v>
      </c>
      <c r="H116" s="7" t="s">
        <v>180</v>
      </c>
      <c r="I116" s="7">
        <v>19.399999999999999</v>
      </c>
      <c r="J116" s="7">
        <v>20.6</v>
      </c>
      <c r="K116" s="7"/>
      <c r="L116" s="6" t="str">
        <f t="shared" si="1"/>
        <v/>
      </c>
      <c r="M116" s="5" t="s">
        <v>206</v>
      </c>
      <c r="N116" s="1"/>
      <c r="O116" s="1"/>
      <c r="P116" s="1"/>
      <c r="Q116" s="1"/>
      <c r="R116" s="1"/>
      <c r="S116" s="1"/>
      <c r="T116" s="2"/>
    </row>
    <row r="117" spans="1:20" ht="29.1">
      <c r="A117" s="5" t="s">
        <v>210</v>
      </c>
      <c r="B117" s="5" t="s">
        <v>211</v>
      </c>
      <c r="C117" s="6">
        <v>1</v>
      </c>
      <c r="D117" s="5" t="s">
        <v>212</v>
      </c>
      <c r="E117" s="7">
        <v>83.25</v>
      </c>
      <c r="F117" s="7" t="s">
        <v>179</v>
      </c>
      <c r="G117" s="7">
        <v>5</v>
      </c>
      <c r="H117" s="7" t="s">
        <v>197</v>
      </c>
      <c r="I117" s="7">
        <v>4</v>
      </c>
      <c r="J117" s="7">
        <v>6</v>
      </c>
      <c r="K117" s="7"/>
      <c r="L117" s="6" t="str">
        <f t="shared" si="1"/>
        <v/>
      </c>
      <c r="M117" s="5" t="s">
        <v>213</v>
      </c>
      <c r="N117" s="1"/>
      <c r="O117" s="1"/>
      <c r="P117" s="1"/>
      <c r="Q117" s="1"/>
      <c r="R117" s="1"/>
      <c r="S117" s="1"/>
      <c r="T117" s="2"/>
    </row>
    <row r="118" spans="1:20" ht="29.1">
      <c r="A118" s="5" t="s">
        <v>210</v>
      </c>
      <c r="B118" s="5" t="s">
        <v>211</v>
      </c>
      <c r="C118" s="6">
        <v>2</v>
      </c>
      <c r="D118" s="5" t="s">
        <v>214</v>
      </c>
      <c r="E118" s="7">
        <v>166.5</v>
      </c>
      <c r="F118" s="7" t="s">
        <v>179</v>
      </c>
      <c r="G118" s="7">
        <v>10</v>
      </c>
      <c r="H118" s="7" t="s">
        <v>197</v>
      </c>
      <c r="I118" s="7">
        <v>9</v>
      </c>
      <c r="J118" s="7">
        <v>11</v>
      </c>
      <c r="K118" s="7"/>
      <c r="L118" s="6" t="str">
        <f t="shared" si="1"/>
        <v/>
      </c>
      <c r="M118" s="5" t="s">
        <v>213</v>
      </c>
      <c r="N118" s="1"/>
      <c r="O118" s="1"/>
      <c r="P118" s="1"/>
      <c r="Q118" s="1"/>
      <c r="R118" s="1"/>
      <c r="S118" s="1"/>
      <c r="T118" s="2"/>
    </row>
    <row r="119" spans="1:20" ht="29.1">
      <c r="A119" s="5" t="s">
        <v>210</v>
      </c>
      <c r="B119" s="5" t="s">
        <v>211</v>
      </c>
      <c r="C119" s="6">
        <v>3</v>
      </c>
      <c r="D119" s="5" t="s">
        <v>215</v>
      </c>
      <c r="E119" s="7">
        <v>249.75</v>
      </c>
      <c r="F119" s="7" t="s">
        <v>179</v>
      </c>
      <c r="G119" s="7">
        <v>15</v>
      </c>
      <c r="H119" s="7" t="s">
        <v>197</v>
      </c>
      <c r="I119" s="7">
        <v>14</v>
      </c>
      <c r="J119" s="7">
        <v>16</v>
      </c>
      <c r="K119" s="7"/>
      <c r="L119" s="6" t="str">
        <f t="shared" si="1"/>
        <v/>
      </c>
      <c r="M119" s="5" t="s">
        <v>213</v>
      </c>
      <c r="N119" s="1"/>
      <c r="O119" s="1"/>
      <c r="P119" s="1"/>
      <c r="Q119" s="1"/>
      <c r="R119" s="1"/>
      <c r="S119" s="1"/>
      <c r="T119" s="2"/>
    </row>
    <row r="120" spans="1:20" ht="29.1">
      <c r="A120" s="5" t="s">
        <v>210</v>
      </c>
      <c r="B120" s="5" t="s">
        <v>211</v>
      </c>
      <c r="C120" s="6">
        <v>4</v>
      </c>
      <c r="D120" s="5" t="s">
        <v>216</v>
      </c>
      <c r="E120" s="7">
        <v>333</v>
      </c>
      <c r="F120" s="7" t="s">
        <v>179</v>
      </c>
      <c r="G120" s="7">
        <v>20</v>
      </c>
      <c r="H120" s="7" t="s">
        <v>197</v>
      </c>
      <c r="I120" s="7">
        <v>19</v>
      </c>
      <c r="J120" s="7">
        <v>21</v>
      </c>
      <c r="K120" s="7"/>
      <c r="L120" s="6" t="str">
        <f t="shared" si="1"/>
        <v/>
      </c>
      <c r="M120" s="5" t="s">
        <v>213</v>
      </c>
      <c r="N120" s="1"/>
      <c r="O120" s="1"/>
      <c r="P120" s="1"/>
      <c r="Q120" s="1"/>
      <c r="R120" s="1"/>
      <c r="S120" s="1"/>
      <c r="T120" s="2"/>
    </row>
    <row r="121" spans="1:20" ht="29.1">
      <c r="A121" s="5" t="s">
        <v>217</v>
      </c>
      <c r="B121" s="5" t="s">
        <v>218</v>
      </c>
      <c r="C121" s="6">
        <v>1</v>
      </c>
      <c r="D121" s="5" t="s">
        <v>219</v>
      </c>
      <c r="E121" s="7">
        <v>2</v>
      </c>
      <c r="F121" s="7" t="s">
        <v>121</v>
      </c>
      <c r="G121" s="7">
        <v>2</v>
      </c>
      <c r="H121" s="7" t="s">
        <v>121</v>
      </c>
      <c r="I121" s="7">
        <v>1.9</v>
      </c>
      <c r="J121" s="7">
        <v>2.1</v>
      </c>
      <c r="K121" s="7"/>
      <c r="L121" s="6" t="str">
        <f t="shared" si="1"/>
        <v/>
      </c>
      <c r="M121" s="5" t="s">
        <v>220</v>
      </c>
      <c r="N121" s="1"/>
      <c r="O121" s="1"/>
      <c r="P121" s="1"/>
      <c r="Q121" s="1"/>
      <c r="R121" s="1"/>
      <c r="S121" s="1"/>
      <c r="T121" s="2"/>
    </row>
    <row r="122" spans="1:20" ht="29.1">
      <c r="A122" s="5" t="s">
        <v>217</v>
      </c>
      <c r="B122" s="5" t="s">
        <v>218</v>
      </c>
      <c r="C122" s="6">
        <v>2</v>
      </c>
      <c r="D122" s="5" t="s">
        <v>221</v>
      </c>
      <c r="E122" s="7">
        <v>5</v>
      </c>
      <c r="F122" s="7" t="s">
        <v>121</v>
      </c>
      <c r="G122" s="7">
        <v>5</v>
      </c>
      <c r="H122" s="7" t="s">
        <v>121</v>
      </c>
      <c r="I122" s="7">
        <v>4.9000000000000004</v>
      </c>
      <c r="J122" s="7">
        <v>5.0999999999999996</v>
      </c>
      <c r="K122" s="7"/>
      <c r="L122" s="6" t="str">
        <f t="shared" si="1"/>
        <v/>
      </c>
      <c r="M122" s="5" t="s">
        <v>220</v>
      </c>
      <c r="N122" s="1"/>
      <c r="O122" s="1"/>
      <c r="P122" s="1"/>
      <c r="Q122" s="1"/>
      <c r="R122" s="1"/>
      <c r="S122" s="1"/>
      <c r="T122" s="2"/>
    </row>
    <row r="123" spans="1:20" ht="29.1">
      <c r="A123" s="5" t="s">
        <v>217</v>
      </c>
      <c r="B123" s="5" t="s">
        <v>218</v>
      </c>
      <c r="C123" s="6">
        <v>3</v>
      </c>
      <c r="D123" s="5" t="s">
        <v>222</v>
      </c>
      <c r="E123" s="7">
        <v>10</v>
      </c>
      <c r="F123" s="7" t="s">
        <v>121</v>
      </c>
      <c r="G123" s="7">
        <v>10</v>
      </c>
      <c r="H123" s="7" t="s">
        <v>121</v>
      </c>
      <c r="I123" s="7">
        <v>9.9</v>
      </c>
      <c r="J123" s="7">
        <v>10.1</v>
      </c>
      <c r="K123" s="7"/>
      <c r="L123" s="6" t="str">
        <f t="shared" si="1"/>
        <v/>
      </c>
      <c r="M123" s="5" t="s">
        <v>220</v>
      </c>
      <c r="N123" s="1"/>
      <c r="O123" s="1"/>
      <c r="P123" s="1"/>
      <c r="Q123" s="1"/>
      <c r="R123" s="1"/>
      <c r="S123" s="1"/>
      <c r="T123" s="2"/>
    </row>
    <row r="124" spans="1:20" ht="29.1">
      <c r="A124" s="5" t="s">
        <v>217</v>
      </c>
      <c r="B124" s="5" t="s">
        <v>218</v>
      </c>
      <c r="C124" s="6">
        <v>4</v>
      </c>
      <c r="D124" s="5" t="s">
        <v>223</v>
      </c>
      <c r="E124" s="7">
        <v>15</v>
      </c>
      <c r="F124" s="7" t="s">
        <v>121</v>
      </c>
      <c r="G124" s="7">
        <v>15</v>
      </c>
      <c r="H124" s="7" t="s">
        <v>121</v>
      </c>
      <c r="I124" s="7">
        <v>14.9</v>
      </c>
      <c r="J124" s="7">
        <v>15.1</v>
      </c>
      <c r="K124" s="7"/>
      <c r="L124" s="6" t="str">
        <f t="shared" si="1"/>
        <v/>
      </c>
      <c r="M124" s="5" t="s">
        <v>220</v>
      </c>
      <c r="N124" s="1"/>
      <c r="O124" s="1"/>
      <c r="P124" s="1"/>
      <c r="Q124" s="1"/>
      <c r="R124" s="1"/>
      <c r="S124" s="1"/>
      <c r="T124" s="2"/>
    </row>
    <row r="125" spans="1:20" ht="43.5">
      <c r="A125" s="5" t="s">
        <v>224</v>
      </c>
      <c r="B125" s="5" t="s">
        <v>225</v>
      </c>
      <c r="C125" s="6">
        <v>1</v>
      </c>
      <c r="D125" s="5" t="s">
        <v>226</v>
      </c>
      <c r="E125" s="7">
        <v>200</v>
      </c>
      <c r="F125" s="7" t="s">
        <v>121</v>
      </c>
      <c r="G125" s="7">
        <v>200</v>
      </c>
      <c r="H125" s="7" t="s">
        <v>121</v>
      </c>
      <c r="I125" s="7">
        <v>200</v>
      </c>
      <c r="J125" s="7">
        <v>200</v>
      </c>
      <c r="K125" s="7"/>
      <c r="L125" s="6" t="str">
        <f t="shared" si="1"/>
        <v/>
      </c>
      <c r="M125" s="5" t="s">
        <v>227</v>
      </c>
      <c r="N125" s="1"/>
      <c r="O125" s="1"/>
      <c r="P125" s="1"/>
      <c r="Q125" s="1"/>
      <c r="R125" s="1"/>
      <c r="S125" s="1"/>
      <c r="T125" s="2"/>
    </row>
    <row r="126" spans="1:20" ht="43.5">
      <c r="A126" s="5" t="s">
        <v>224</v>
      </c>
      <c r="B126" s="5" t="s">
        <v>225</v>
      </c>
      <c r="C126" s="6">
        <v>2</v>
      </c>
      <c r="D126" s="5" t="s">
        <v>228</v>
      </c>
      <c r="E126" s="7">
        <v>300</v>
      </c>
      <c r="F126" s="7" t="s">
        <v>121</v>
      </c>
      <c r="G126" s="7">
        <v>300</v>
      </c>
      <c r="H126" s="7" t="s">
        <v>121</v>
      </c>
      <c r="I126" s="7">
        <v>300</v>
      </c>
      <c r="J126" s="7">
        <v>300</v>
      </c>
      <c r="K126" s="7"/>
      <c r="L126" s="6" t="str">
        <f t="shared" si="1"/>
        <v/>
      </c>
      <c r="M126" s="5" t="s">
        <v>227</v>
      </c>
      <c r="N126" s="1"/>
      <c r="O126" s="1"/>
      <c r="P126" s="1"/>
      <c r="Q126" s="1"/>
      <c r="R126" s="1"/>
      <c r="S126" s="1"/>
      <c r="T126" s="2"/>
    </row>
    <row r="127" spans="1:20" ht="29.1">
      <c r="A127" s="5" t="s">
        <v>229</v>
      </c>
      <c r="B127" s="5" t="s">
        <v>230</v>
      </c>
      <c r="C127" s="6">
        <v>1</v>
      </c>
      <c r="D127" s="5" t="s">
        <v>226</v>
      </c>
      <c r="E127" s="7">
        <v>5000</v>
      </c>
      <c r="F127" s="7" t="s">
        <v>121</v>
      </c>
      <c r="G127" s="7">
        <v>5000</v>
      </c>
      <c r="H127" s="7" t="s">
        <v>121</v>
      </c>
      <c r="I127" s="7">
        <v>5000</v>
      </c>
      <c r="J127" s="7">
        <v>5000</v>
      </c>
      <c r="K127" s="7"/>
      <c r="L127" s="6" t="str">
        <f t="shared" si="1"/>
        <v/>
      </c>
      <c r="M127" s="5" t="s">
        <v>231</v>
      </c>
      <c r="N127" s="1"/>
      <c r="O127" s="1"/>
      <c r="P127" s="1"/>
      <c r="Q127" s="1"/>
      <c r="R127" s="1"/>
      <c r="S127" s="1"/>
      <c r="T127" s="2"/>
    </row>
    <row r="128" spans="1:20" ht="29.1">
      <c r="A128" s="5" t="s">
        <v>229</v>
      </c>
      <c r="B128" s="5" t="s">
        <v>230</v>
      </c>
      <c r="C128" s="6">
        <v>2</v>
      </c>
      <c r="D128" s="5" t="s">
        <v>228</v>
      </c>
      <c r="E128" s="7">
        <v>5000</v>
      </c>
      <c r="F128" s="7" t="s">
        <v>121</v>
      </c>
      <c r="G128" s="7">
        <v>5000</v>
      </c>
      <c r="H128" s="7" t="s">
        <v>121</v>
      </c>
      <c r="I128" s="7">
        <v>5000</v>
      </c>
      <c r="J128" s="7">
        <v>5000</v>
      </c>
      <c r="K128" s="7"/>
      <c r="L128" s="6" t="str">
        <f t="shared" si="1"/>
        <v/>
      </c>
      <c r="M128" s="5" t="s">
        <v>231</v>
      </c>
      <c r="N128" s="1"/>
      <c r="O128" s="1"/>
      <c r="P128" s="1"/>
      <c r="Q128" s="1"/>
      <c r="R128" s="1"/>
      <c r="S128" s="1"/>
      <c r="T128" s="2"/>
    </row>
    <row r="129" spans="1:20" ht="29.1">
      <c r="A129" s="5" t="s">
        <v>232</v>
      </c>
      <c r="B129" s="5" t="s">
        <v>233</v>
      </c>
      <c r="C129" s="6">
        <v>1</v>
      </c>
      <c r="D129" s="5" t="s">
        <v>226</v>
      </c>
      <c r="E129" s="7">
        <v>10</v>
      </c>
      <c r="F129" s="7" t="s">
        <v>121</v>
      </c>
      <c r="G129" s="7">
        <v>10</v>
      </c>
      <c r="H129" s="7" t="s">
        <v>121</v>
      </c>
      <c r="I129" s="7">
        <v>10</v>
      </c>
      <c r="J129" s="7">
        <v>10</v>
      </c>
      <c r="K129" s="7"/>
      <c r="L129" s="6" t="str">
        <f t="shared" si="1"/>
        <v/>
      </c>
      <c r="M129" s="5" t="s">
        <v>234</v>
      </c>
      <c r="N129" s="1"/>
      <c r="O129" s="1"/>
      <c r="P129" s="1"/>
      <c r="Q129" s="1"/>
      <c r="R129" s="1"/>
      <c r="S129" s="1"/>
      <c r="T129" s="2"/>
    </row>
    <row r="130" spans="1:20" ht="29.1">
      <c r="A130" s="5" t="s">
        <v>232</v>
      </c>
      <c r="B130" s="5" t="s">
        <v>233</v>
      </c>
      <c r="C130" s="6">
        <v>2</v>
      </c>
      <c r="D130" s="5" t="s">
        <v>228</v>
      </c>
      <c r="E130" s="7">
        <v>20</v>
      </c>
      <c r="F130" s="7" t="s">
        <v>121</v>
      </c>
      <c r="G130" s="7">
        <v>20</v>
      </c>
      <c r="H130" s="7" t="s">
        <v>121</v>
      </c>
      <c r="I130" s="7">
        <v>20</v>
      </c>
      <c r="J130" s="7">
        <v>20</v>
      </c>
      <c r="K130" s="7"/>
      <c r="L130" s="6" t="str">
        <f t="shared" si="1"/>
        <v/>
      </c>
      <c r="M130" s="5" t="s">
        <v>234</v>
      </c>
      <c r="N130" s="1"/>
      <c r="O130" s="1"/>
      <c r="P130" s="1"/>
      <c r="Q130" s="1"/>
      <c r="R130" s="1"/>
      <c r="S130" s="1"/>
      <c r="T130" s="2"/>
    </row>
    <row r="131" spans="1:20" ht="29.1">
      <c r="A131" s="5" t="s">
        <v>235</v>
      </c>
      <c r="B131" s="5" t="s">
        <v>236</v>
      </c>
      <c r="C131" s="6">
        <v>1</v>
      </c>
      <c r="D131" s="5" t="s">
        <v>237</v>
      </c>
      <c r="E131" s="7">
        <v>120</v>
      </c>
      <c r="F131" s="7" t="s">
        <v>238</v>
      </c>
      <c r="G131" s="7">
        <v>120</v>
      </c>
      <c r="H131" s="7" t="s">
        <v>239</v>
      </c>
      <c r="I131" s="7">
        <v>120</v>
      </c>
      <c r="J131" s="7">
        <v>120</v>
      </c>
      <c r="K131" s="7"/>
      <c r="L131" s="6" t="str">
        <f t="shared" si="1"/>
        <v/>
      </c>
      <c r="M131" s="5" t="s">
        <v>240</v>
      </c>
      <c r="N131" s="1"/>
      <c r="O131" s="1"/>
      <c r="P131" s="1"/>
      <c r="Q131" s="1"/>
      <c r="R131" s="1"/>
      <c r="S131" s="1"/>
      <c r="T131" s="2"/>
    </row>
    <row r="132" spans="1:20" ht="43.5">
      <c r="A132" s="5" t="s">
        <v>241</v>
      </c>
      <c r="B132" s="5" t="s">
        <v>242</v>
      </c>
      <c r="C132" s="6">
        <v>1</v>
      </c>
      <c r="D132" s="5" t="s">
        <v>243</v>
      </c>
      <c r="E132" s="7">
        <v>120</v>
      </c>
      <c r="F132" s="7" t="s">
        <v>238</v>
      </c>
      <c r="G132" s="7">
        <v>120</v>
      </c>
      <c r="H132" s="7" t="s">
        <v>239</v>
      </c>
      <c r="I132" s="7">
        <v>120</v>
      </c>
      <c r="J132" s="7">
        <v>120</v>
      </c>
      <c r="K132" s="7"/>
      <c r="L132" s="6" t="str">
        <f t="shared" si="1"/>
        <v/>
      </c>
      <c r="M132" s="5" t="s">
        <v>244</v>
      </c>
      <c r="N132" s="1"/>
      <c r="O132" s="1"/>
      <c r="P132" s="1"/>
      <c r="Q132" s="1"/>
      <c r="R132" s="1"/>
      <c r="S132" s="1"/>
      <c r="T132" s="2"/>
    </row>
    <row r="133" spans="1:20" ht="29.1">
      <c r="A133" s="5" t="s">
        <v>245</v>
      </c>
      <c r="B133" s="5" t="s">
        <v>246</v>
      </c>
      <c r="C133" s="6">
        <v>1</v>
      </c>
      <c r="D133" s="5" t="s">
        <v>247</v>
      </c>
      <c r="E133" s="7">
        <v>200</v>
      </c>
      <c r="F133" s="7" t="s">
        <v>238</v>
      </c>
      <c r="G133" s="7">
        <v>200</v>
      </c>
      <c r="H133" s="7" t="s">
        <v>239</v>
      </c>
      <c r="I133" s="7">
        <v>200</v>
      </c>
      <c r="J133" s="7">
        <v>200</v>
      </c>
      <c r="K133" s="7"/>
      <c r="L133" s="6" t="str">
        <f t="shared" si="1"/>
        <v/>
      </c>
      <c r="M133" s="5" t="s">
        <v>248</v>
      </c>
      <c r="N133" s="1"/>
      <c r="O133" s="1"/>
      <c r="P133" s="1"/>
      <c r="Q133" s="1"/>
      <c r="R133" s="1"/>
      <c r="S133" s="1"/>
      <c r="T133" s="2"/>
    </row>
    <row r="134" spans="1:20" ht="29.1">
      <c r="A134" s="5" t="s">
        <v>249</v>
      </c>
      <c r="B134" s="5" t="s">
        <v>250</v>
      </c>
      <c r="C134" s="6">
        <v>1</v>
      </c>
      <c r="D134" s="5" t="s">
        <v>251</v>
      </c>
      <c r="E134" s="7">
        <v>100</v>
      </c>
      <c r="F134" s="7" t="s">
        <v>252</v>
      </c>
      <c r="G134" s="7">
        <v>100</v>
      </c>
      <c r="H134" s="7" t="s">
        <v>253</v>
      </c>
      <c r="I134" s="7">
        <v>100</v>
      </c>
      <c r="J134" s="7">
        <v>100</v>
      </c>
      <c r="K134" s="7"/>
      <c r="L134" s="6" t="str">
        <f t="shared" si="1"/>
        <v/>
      </c>
      <c r="M134" s="5" t="s">
        <v>254</v>
      </c>
      <c r="N134" s="1"/>
      <c r="O134" s="1"/>
      <c r="P134" s="1"/>
      <c r="Q134" s="1"/>
      <c r="R134" s="1"/>
      <c r="S134" s="1"/>
      <c r="T134" s="2"/>
    </row>
    <row r="135" spans="1:20" ht="43.5">
      <c r="A135" s="5" t="s">
        <v>255</v>
      </c>
      <c r="B135" s="5" t="s">
        <v>256</v>
      </c>
      <c r="C135" s="6">
        <v>1</v>
      </c>
      <c r="D135" s="5" t="s">
        <v>257</v>
      </c>
      <c r="E135" s="7">
        <v>110</v>
      </c>
      <c r="F135" s="7" t="s">
        <v>252</v>
      </c>
      <c r="G135" s="7">
        <v>100</v>
      </c>
      <c r="H135" s="7" t="s">
        <v>253</v>
      </c>
      <c r="I135" s="7">
        <v>100</v>
      </c>
      <c r="J135" s="7">
        <v>100</v>
      </c>
      <c r="K135" s="7"/>
      <c r="L135" s="6" t="str">
        <f t="shared" si="1"/>
        <v/>
      </c>
      <c r="M135" s="5" t="s">
        <v>258</v>
      </c>
      <c r="N135" s="1"/>
      <c r="O135" s="1"/>
      <c r="P135" s="1"/>
      <c r="Q135" s="1"/>
      <c r="R135" s="1"/>
      <c r="S135" s="1"/>
      <c r="T135" s="2"/>
    </row>
    <row r="136" spans="1:20" ht="57.95">
      <c r="A136" s="5" t="s">
        <v>259</v>
      </c>
      <c r="B136" s="5" t="s">
        <v>260</v>
      </c>
      <c r="C136" s="6">
        <v>1</v>
      </c>
      <c r="D136" s="5" t="s">
        <v>261</v>
      </c>
      <c r="E136" s="7" t="s">
        <v>78</v>
      </c>
      <c r="F136" s="7"/>
      <c r="G136" s="7" t="s">
        <v>262</v>
      </c>
      <c r="H136" s="7"/>
      <c r="I136" s="7" t="s">
        <v>78</v>
      </c>
      <c r="J136" s="7" t="s">
        <v>78</v>
      </c>
      <c r="K136" s="7"/>
      <c r="L136" s="6" t="str">
        <f t="shared" si="1"/>
        <v/>
      </c>
      <c r="M136" s="5" t="s">
        <v>263</v>
      </c>
      <c r="N136" s="1"/>
      <c r="O136" s="1"/>
      <c r="P136" s="1"/>
      <c r="Q136" s="1"/>
      <c r="R136" s="1"/>
      <c r="S136" s="1"/>
      <c r="T136" s="2"/>
    </row>
    <row r="137" spans="1:20" ht="43.5">
      <c r="A137" s="5" t="s">
        <v>264</v>
      </c>
      <c r="B137" s="5" t="s">
        <v>265</v>
      </c>
      <c r="C137" s="6">
        <v>1</v>
      </c>
      <c r="D137" s="5" t="s">
        <v>266</v>
      </c>
      <c r="E137" s="7" t="s">
        <v>78</v>
      </c>
      <c r="F137" s="7"/>
      <c r="G137" s="7" t="s">
        <v>262</v>
      </c>
      <c r="H137" s="7"/>
      <c r="I137" s="7" t="s">
        <v>78</v>
      </c>
      <c r="J137" s="7" t="s">
        <v>78</v>
      </c>
      <c r="K137" s="7"/>
      <c r="L137" s="6" t="str">
        <f t="shared" si="1"/>
        <v/>
      </c>
      <c r="M137" s="5" t="s">
        <v>267</v>
      </c>
      <c r="N137" s="1"/>
      <c r="O137" s="1"/>
      <c r="P137" s="1"/>
      <c r="Q137" s="1"/>
      <c r="R137" s="1"/>
      <c r="S137" s="1"/>
      <c r="T137" s="2"/>
    </row>
    <row r="138" spans="1:20" ht="57.95">
      <c r="A138" s="5" t="s">
        <v>268</v>
      </c>
      <c r="B138" s="5" t="s">
        <v>269</v>
      </c>
      <c r="C138" s="6">
        <v>1</v>
      </c>
      <c r="D138" s="5" t="s">
        <v>270</v>
      </c>
      <c r="E138" s="7" t="s">
        <v>78</v>
      </c>
      <c r="F138" s="7"/>
      <c r="G138" s="7" t="s">
        <v>262</v>
      </c>
      <c r="H138" s="7"/>
      <c r="I138" s="7" t="s">
        <v>78</v>
      </c>
      <c r="J138" s="7" t="s">
        <v>78</v>
      </c>
      <c r="K138" s="7"/>
      <c r="L138" s="6" t="str">
        <f t="shared" si="1"/>
        <v/>
      </c>
      <c r="M138" s="5" t="s">
        <v>271</v>
      </c>
      <c r="N138" s="1"/>
      <c r="O138" s="1"/>
      <c r="P138" s="1"/>
      <c r="Q138" s="1"/>
      <c r="R138" s="1"/>
      <c r="S138" s="1"/>
      <c r="T138" s="2"/>
    </row>
    <row r="139" spans="1:20" ht="57.95">
      <c r="A139" s="5" t="s">
        <v>272</v>
      </c>
      <c r="B139" s="5" t="s">
        <v>273</v>
      </c>
      <c r="C139" s="6">
        <v>1</v>
      </c>
      <c r="D139" s="5" t="s">
        <v>274</v>
      </c>
      <c r="E139" s="7" t="s">
        <v>78</v>
      </c>
      <c r="F139" s="7"/>
      <c r="G139" s="7" t="s">
        <v>262</v>
      </c>
      <c r="H139" s="7"/>
      <c r="I139" s="7" t="s">
        <v>78</v>
      </c>
      <c r="J139" s="7" t="s">
        <v>78</v>
      </c>
      <c r="K139" s="7"/>
      <c r="L139" s="6" t="str">
        <f t="shared" si="1"/>
        <v/>
      </c>
      <c r="M139" s="5" t="s">
        <v>275</v>
      </c>
      <c r="N139" s="1"/>
      <c r="O139" s="1"/>
      <c r="P139" s="1"/>
      <c r="Q139" s="1"/>
      <c r="R139" s="1"/>
      <c r="S139" s="1"/>
      <c r="T139" s="2"/>
    </row>
    <row r="140" spans="1:20" ht="43.5">
      <c r="A140" s="5" t="s">
        <v>276</v>
      </c>
      <c r="B140" s="5" t="s">
        <v>277</v>
      </c>
      <c r="C140" s="6">
        <v>1</v>
      </c>
      <c r="D140" s="5" t="s">
        <v>278</v>
      </c>
      <c r="E140" s="7" t="s">
        <v>78</v>
      </c>
      <c r="F140" s="7"/>
      <c r="G140" s="7" t="s">
        <v>262</v>
      </c>
      <c r="H140" s="7"/>
      <c r="I140" s="7" t="s">
        <v>78</v>
      </c>
      <c r="J140" s="7" t="s">
        <v>78</v>
      </c>
      <c r="K140" s="7"/>
      <c r="L140" s="6" t="str">
        <f t="shared" ref="L140:L203" si="2">IF(K140="","",IF(AND(ISNUMBER(I140),ISNUMBER(J140),ISNUMBER(K140)),IF(AND(K140&gt;=I140,K140&lt;=J140),"PASS","FAIL"),"REVIEW"))</f>
        <v/>
      </c>
      <c r="M140" s="5" t="s">
        <v>279</v>
      </c>
      <c r="N140" s="1"/>
      <c r="O140" s="1"/>
      <c r="P140" s="1"/>
      <c r="Q140" s="1"/>
      <c r="R140" s="1"/>
      <c r="S140" s="1"/>
      <c r="T140" s="2"/>
    </row>
    <row r="141" spans="1:20" ht="57.95">
      <c r="A141" s="5" t="s">
        <v>280</v>
      </c>
      <c r="B141" s="5" t="s">
        <v>281</v>
      </c>
      <c r="C141" s="6">
        <v>1</v>
      </c>
      <c r="D141" s="5" t="s">
        <v>282</v>
      </c>
      <c r="E141" s="7" t="s">
        <v>78</v>
      </c>
      <c r="F141" s="7"/>
      <c r="G141" s="7" t="s">
        <v>262</v>
      </c>
      <c r="H141" s="7"/>
      <c r="I141" s="7" t="s">
        <v>78</v>
      </c>
      <c r="J141" s="7" t="s">
        <v>78</v>
      </c>
      <c r="K141" s="7"/>
      <c r="L141" s="6" t="str">
        <f t="shared" si="2"/>
        <v/>
      </c>
      <c r="M141" s="5" t="s">
        <v>283</v>
      </c>
      <c r="N141" s="1"/>
      <c r="O141" s="1"/>
      <c r="P141" s="1"/>
      <c r="Q141" s="1"/>
      <c r="R141" s="1"/>
      <c r="S141" s="1"/>
      <c r="T141" s="2"/>
    </row>
    <row r="142" spans="1:20" ht="43.5">
      <c r="A142" s="5" t="s">
        <v>284</v>
      </c>
      <c r="B142" s="5" t="s">
        <v>285</v>
      </c>
      <c r="C142" s="6">
        <v>1</v>
      </c>
      <c r="D142" s="5" t="s">
        <v>286</v>
      </c>
      <c r="E142" s="7" t="s">
        <v>78</v>
      </c>
      <c r="F142" s="7"/>
      <c r="G142" s="7" t="s">
        <v>262</v>
      </c>
      <c r="H142" s="7"/>
      <c r="I142" s="7" t="s">
        <v>78</v>
      </c>
      <c r="J142" s="7" t="s">
        <v>78</v>
      </c>
      <c r="K142" s="7"/>
      <c r="L142" s="6" t="str">
        <f t="shared" si="2"/>
        <v/>
      </c>
      <c r="M142" s="5" t="s">
        <v>287</v>
      </c>
      <c r="N142" s="1"/>
      <c r="O142" s="1"/>
      <c r="P142" s="1"/>
      <c r="Q142" s="1"/>
      <c r="R142" s="1"/>
      <c r="S142" s="1"/>
      <c r="T142" s="2"/>
    </row>
    <row r="143" spans="1:20" ht="43.5">
      <c r="A143" s="5" t="s">
        <v>288</v>
      </c>
      <c r="B143" s="5" t="s">
        <v>289</v>
      </c>
      <c r="C143" s="6">
        <v>1</v>
      </c>
      <c r="D143" s="5" t="s">
        <v>290</v>
      </c>
      <c r="E143" s="7" t="s">
        <v>78</v>
      </c>
      <c r="F143" s="7"/>
      <c r="G143" s="7" t="s">
        <v>262</v>
      </c>
      <c r="H143" s="7"/>
      <c r="I143" s="7" t="s">
        <v>78</v>
      </c>
      <c r="J143" s="7" t="s">
        <v>78</v>
      </c>
      <c r="K143" s="7"/>
      <c r="L143" s="6" t="str">
        <f t="shared" si="2"/>
        <v/>
      </c>
      <c r="M143" s="5" t="s">
        <v>291</v>
      </c>
      <c r="N143" s="1"/>
      <c r="O143" s="1"/>
      <c r="P143" s="1"/>
      <c r="Q143" s="1"/>
      <c r="R143" s="1"/>
      <c r="S143" s="1"/>
      <c r="T143" s="2"/>
    </row>
    <row r="144" spans="1:20" ht="72.599999999999994">
      <c r="A144" s="5" t="s">
        <v>292</v>
      </c>
      <c r="B144" s="5" t="s">
        <v>293</v>
      </c>
      <c r="C144" s="6">
        <v>1</v>
      </c>
      <c r="D144" s="5" t="s">
        <v>294</v>
      </c>
      <c r="E144" s="7" t="s">
        <v>78</v>
      </c>
      <c r="F144" s="7"/>
      <c r="G144" s="7" t="s">
        <v>262</v>
      </c>
      <c r="H144" s="7"/>
      <c r="I144" s="7" t="s">
        <v>78</v>
      </c>
      <c r="J144" s="7" t="s">
        <v>78</v>
      </c>
      <c r="K144" s="7"/>
      <c r="L144" s="6" t="str">
        <f t="shared" si="2"/>
        <v/>
      </c>
      <c r="M144" s="5" t="s">
        <v>295</v>
      </c>
      <c r="N144" s="1"/>
      <c r="O144" s="1"/>
      <c r="P144" s="1"/>
      <c r="Q144" s="1"/>
      <c r="R144" s="1"/>
      <c r="S144" s="1"/>
      <c r="T144" s="2"/>
    </row>
    <row r="145" spans="1:20" ht="43.5">
      <c r="A145" s="5" t="s">
        <v>296</v>
      </c>
      <c r="B145" s="5" t="s">
        <v>297</v>
      </c>
      <c r="C145" s="6">
        <v>1</v>
      </c>
      <c r="D145" s="5" t="s">
        <v>298</v>
      </c>
      <c r="E145" s="7" t="s">
        <v>78</v>
      </c>
      <c r="F145" s="7"/>
      <c r="G145" s="7" t="s">
        <v>262</v>
      </c>
      <c r="H145" s="7"/>
      <c r="I145" s="7" t="s">
        <v>78</v>
      </c>
      <c r="J145" s="7" t="s">
        <v>78</v>
      </c>
      <c r="K145" s="7"/>
      <c r="L145" s="6" t="str">
        <f t="shared" si="2"/>
        <v/>
      </c>
      <c r="M145" s="5" t="s">
        <v>299</v>
      </c>
      <c r="N145" s="1"/>
      <c r="O145" s="1"/>
      <c r="P145" s="1"/>
      <c r="Q145" s="1"/>
      <c r="R145" s="1"/>
      <c r="S145" s="1"/>
      <c r="T145" s="2"/>
    </row>
    <row r="146" spans="1:20" ht="43.5">
      <c r="A146" s="5" t="s">
        <v>300</v>
      </c>
      <c r="B146" s="5" t="s">
        <v>301</v>
      </c>
      <c r="C146" s="6">
        <v>1</v>
      </c>
      <c r="D146" s="5" t="s">
        <v>302</v>
      </c>
      <c r="E146" s="7" t="s">
        <v>78</v>
      </c>
      <c r="F146" s="7"/>
      <c r="G146" s="7" t="s">
        <v>262</v>
      </c>
      <c r="H146" s="7"/>
      <c r="I146" s="7" t="s">
        <v>78</v>
      </c>
      <c r="J146" s="7" t="s">
        <v>78</v>
      </c>
      <c r="K146" s="7"/>
      <c r="L146" s="6" t="str">
        <f t="shared" si="2"/>
        <v/>
      </c>
      <c r="M146" s="5" t="s">
        <v>303</v>
      </c>
      <c r="N146" s="1"/>
      <c r="O146" s="1"/>
      <c r="P146" s="1"/>
      <c r="Q146" s="1"/>
      <c r="R146" s="1"/>
      <c r="S146" s="1"/>
      <c r="T146" s="2"/>
    </row>
    <row r="147" spans="1:20" ht="57.95">
      <c r="A147" s="5" t="s">
        <v>304</v>
      </c>
      <c r="B147" s="5" t="s">
        <v>305</v>
      </c>
      <c r="C147" s="6">
        <v>1</v>
      </c>
      <c r="D147" s="5" t="s">
        <v>306</v>
      </c>
      <c r="E147" s="7" t="s">
        <v>78</v>
      </c>
      <c r="F147" s="7"/>
      <c r="G147" s="7" t="s">
        <v>262</v>
      </c>
      <c r="H147" s="7"/>
      <c r="I147" s="7" t="s">
        <v>78</v>
      </c>
      <c r="J147" s="7" t="s">
        <v>78</v>
      </c>
      <c r="K147" s="7"/>
      <c r="L147" s="6" t="str">
        <f t="shared" si="2"/>
        <v/>
      </c>
      <c r="M147" s="5" t="s">
        <v>307</v>
      </c>
      <c r="N147" s="1"/>
      <c r="O147" s="1"/>
      <c r="P147" s="1"/>
      <c r="Q147" s="1"/>
      <c r="R147" s="1"/>
      <c r="S147" s="1"/>
      <c r="T147" s="2"/>
    </row>
    <row r="148" spans="1:20" ht="57.95">
      <c r="A148" s="5" t="s">
        <v>308</v>
      </c>
      <c r="B148" s="5" t="s">
        <v>309</v>
      </c>
      <c r="C148" s="6">
        <v>1</v>
      </c>
      <c r="D148" s="5" t="s">
        <v>310</v>
      </c>
      <c r="E148" s="7" t="s">
        <v>78</v>
      </c>
      <c r="F148" s="7"/>
      <c r="G148" s="7" t="s">
        <v>262</v>
      </c>
      <c r="H148" s="7"/>
      <c r="I148" s="7" t="s">
        <v>78</v>
      </c>
      <c r="J148" s="7" t="s">
        <v>78</v>
      </c>
      <c r="K148" s="7"/>
      <c r="L148" s="6" t="str">
        <f t="shared" si="2"/>
        <v/>
      </c>
      <c r="M148" s="5" t="s">
        <v>311</v>
      </c>
      <c r="N148" s="1"/>
      <c r="O148" s="1"/>
      <c r="P148" s="1"/>
      <c r="Q148" s="1"/>
      <c r="R148" s="1"/>
      <c r="S148" s="1"/>
      <c r="T148" s="2"/>
    </row>
    <row r="149" spans="1:20" ht="57.95">
      <c r="A149" s="5" t="s">
        <v>312</v>
      </c>
      <c r="B149" s="5" t="s">
        <v>313</v>
      </c>
      <c r="C149" s="6">
        <v>1</v>
      </c>
      <c r="D149" s="5" t="s">
        <v>314</v>
      </c>
      <c r="E149" s="7" t="s">
        <v>78</v>
      </c>
      <c r="F149" s="7"/>
      <c r="G149" s="7" t="s">
        <v>262</v>
      </c>
      <c r="H149" s="7"/>
      <c r="I149" s="7" t="s">
        <v>78</v>
      </c>
      <c r="J149" s="7" t="s">
        <v>78</v>
      </c>
      <c r="K149" s="7"/>
      <c r="L149" s="6" t="str">
        <f t="shared" si="2"/>
        <v/>
      </c>
      <c r="M149" s="5" t="s">
        <v>315</v>
      </c>
      <c r="N149" s="1"/>
      <c r="O149" s="1"/>
      <c r="P149" s="1"/>
      <c r="Q149" s="1"/>
      <c r="R149" s="1"/>
      <c r="S149" s="1"/>
      <c r="T149" s="2"/>
    </row>
    <row r="150" spans="1:20" ht="43.5">
      <c r="A150" s="5" t="s">
        <v>316</v>
      </c>
      <c r="B150" s="5" t="s">
        <v>317</v>
      </c>
      <c r="C150" s="6">
        <v>1</v>
      </c>
      <c r="D150" s="5" t="s">
        <v>318</v>
      </c>
      <c r="E150" s="7" t="s">
        <v>78</v>
      </c>
      <c r="F150" s="7"/>
      <c r="G150" s="7" t="s">
        <v>262</v>
      </c>
      <c r="H150" s="7"/>
      <c r="I150" s="7" t="s">
        <v>78</v>
      </c>
      <c r="J150" s="7" t="s">
        <v>78</v>
      </c>
      <c r="K150" s="7"/>
      <c r="L150" s="6" t="str">
        <f t="shared" si="2"/>
        <v/>
      </c>
      <c r="M150" s="5" t="s">
        <v>319</v>
      </c>
      <c r="N150" s="1"/>
      <c r="O150" s="1"/>
      <c r="P150" s="1"/>
      <c r="Q150" s="1"/>
      <c r="R150" s="1"/>
      <c r="S150" s="1"/>
      <c r="T150" s="2"/>
    </row>
    <row r="151" spans="1:20" ht="43.5">
      <c r="A151" s="5" t="s">
        <v>320</v>
      </c>
      <c r="B151" s="5" t="s">
        <v>321</v>
      </c>
      <c r="C151" s="6">
        <v>1</v>
      </c>
      <c r="D151" s="5" t="s">
        <v>322</v>
      </c>
      <c r="E151" s="7" t="s">
        <v>78</v>
      </c>
      <c r="F151" s="7"/>
      <c r="G151" s="7" t="s">
        <v>262</v>
      </c>
      <c r="H151" s="7"/>
      <c r="I151" s="7" t="s">
        <v>78</v>
      </c>
      <c r="J151" s="7" t="s">
        <v>78</v>
      </c>
      <c r="K151" s="7"/>
      <c r="L151" s="6" t="str">
        <f t="shared" si="2"/>
        <v/>
      </c>
      <c r="M151" s="5" t="s">
        <v>323</v>
      </c>
      <c r="N151" s="2"/>
      <c r="O151" s="2"/>
      <c r="P151" s="2"/>
      <c r="Q151" s="2"/>
      <c r="R151" s="2"/>
      <c r="S151" s="2"/>
      <c r="T151" s="2"/>
    </row>
    <row r="152" spans="1:20" ht="43.5">
      <c r="A152" s="8" t="s">
        <v>324</v>
      </c>
      <c r="B152" s="8" t="s">
        <v>325</v>
      </c>
      <c r="C152" s="9">
        <v>1</v>
      </c>
      <c r="D152" s="8" t="s">
        <v>326</v>
      </c>
      <c r="E152" s="10" t="s">
        <v>78</v>
      </c>
      <c r="F152" s="10"/>
      <c r="G152" s="10" t="s">
        <v>262</v>
      </c>
      <c r="H152" s="10"/>
      <c r="I152" s="10" t="s">
        <v>78</v>
      </c>
      <c r="J152" s="10" t="s">
        <v>78</v>
      </c>
      <c r="K152" s="10"/>
      <c r="L152" s="9" t="str">
        <f t="shared" si="2"/>
        <v/>
      </c>
      <c r="M152" s="8" t="s">
        <v>327</v>
      </c>
    </row>
    <row r="153" spans="1:20" ht="43.5">
      <c r="A153" s="8" t="s">
        <v>328</v>
      </c>
      <c r="B153" s="8" t="s">
        <v>329</v>
      </c>
      <c r="C153" s="9">
        <v>1</v>
      </c>
      <c r="D153" s="8" t="s">
        <v>330</v>
      </c>
      <c r="E153" s="10" t="s">
        <v>78</v>
      </c>
      <c r="F153" s="10"/>
      <c r="G153" s="10" t="s">
        <v>262</v>
      </c>
      <c r="H153" s="10"/>
      <c r="I153" s="10" t="s">
        <v>78</v>
      </c>
      <c r="J153" s="10" t="s">
        <v>78</v>
      </c>
      <c r="K153" s="10"/>
      <c r="L153" s="9" t="str">
        <f t="shared" si="2"/>
        <v/>
      </c>
      <c r="M153" s="8" t="s">
        <v>331</v>
      </c>
    </row>
    <row r="154" spans="1:20" ht="57.95">
      <c r="A154" s="8" t="s">
        <v>332</v>
      </c>
      <c r="B154" s="8" t="s">
        <v>333</v>
      </c>
      <c r="C154" s="9">
        <v>1</v>
      </c>
      <c r="D154" s="8" t="s">
        <v>334</v>
      </c>
      <c r="E154" s="10" t="s">
        <v>78</v>
      </c>
      <c r="F154" s="10"/>
      <c r="G154" s="10" t="s">
        <v>262</v>
      </c>
      <c r="H154" s="10"/>
      <c r="I154" s="10" t="s">
        <v>78</v>
      </c>
      <c r="J154" s="10" t="s">
        <v>78</v>
      </c>
      <c r="K154" s="10"/>
      <c r="L154" s="9" t="str">
        <f t="shared" si="2"/>
        <v/>
      </c>
      <c r="M154" s="8" t="s">
        <v>335</v>
      </c>
    </row>
    <row r="155" spans="1:20" ht="29.1">
      <c r="A155" s="8" t="s">
        <v>336</v>
      </c>
      <c r="B155" s="8" t="s">
        <v>337</v>
      </c>
      <c r="C155" s="9">
        <v>1</v>
      </c>
      <c r="D155" s="8" t="s">
        <v>338</v>
      </c>
      <c r="E155" s="10" t="s">
        <v>78</v>
      </c>
      <c r="F155" s="10"/>
      <c r="G155" s="10" t="s">
        <v>262</v>
      </c>
      <c r="H155" s="10"/>
      <c r="I155" s="10" t="s">
        <v>78</v>
      </c>
      <c r="J155" s="10" t="s">
        <v>78</v>
      </c>
      <c r="K155" s="10"/>
      <c r="L155" s="9" t="str">
        <f t="shared" si="2"/>
        <v/>
      </c>
      <c r="M155" s="8" t="s">
        <v>339</v>
      </c>
    </row>
    <row r="156" spans="1:20" ht="57.95">
      <c r="A156" s="8" t="s">
        <v>340</v>
      </c>
      <c r="B156" s="8" t="s">
        <v>341</v>
      </c>
      <c r="C156" s="9">
        <v>1</v>
      </c>
      <c r="D156" s="8" t="s">
        <v>342</v>
      </c>
      <c r="E156" s="10" t="s">
        <v>78</v>
      </c>
      <c r="F156" s="10"/>
      <c r="G156" s="10" t="s">
        <v>262</v>
      </c>
      <c r="H156" s="10"/>
      <c r="I156" s="10" t="s">
        <v>78</v>
      </c>
      <c r="J156" s="10" t="s">
        <v>78</v>
      </c>
      <c r="K156" s="10"/>
      <c r="L156" s="9" t="str">
        <f t="shared" si="2"/>
        <v/>
      </c>
      <c r="M156" s="8" t="s">
        <v>343</v>
      </c>
    </row>
    <row r="157" spans="1:20" ht="43.5">
      <c r="A157" s="8" t="s">
        <v>344</v>
      </c>
      <c r="B157" s="8" t="s">
        <v>345</v>
      </c>
      <c r="C157" s="9">
        <v>1</v>
      </c>
      <c r="D157" s="8" t="s">
        <v>346</v>
      </c>
      <c r="E157" s="10" t="s">
        <v>78</v>
      </c>
      <c r="F157" s="10"/>
      <c r="G157" s="10" t="s">
        <v>262</v>
      </c>
      <c r="H157" s="10"/>
      <c r="I157" s="10" t="s">
        <v>78</v>
      </c>
      <c r="J157" s="10" t="s">
        <v>78</v>
      </c>
      <c r="K157" s="10"/>
      <c r="L157" s="9" t="str">
        <f t="shared" si="2"/>
        <v/>
      </c>
      <c r="M157" s="8" t="s">
        <v>347</v>
      </c>
    </row>
    <row r="158" spans="1:20" ht="57.95">
      <c r="A158" s="8" t="s">
        <v>348</v>
      </c>
      <c r="B158" s="8" t="s">
        <v>349</v>
      </c>
      <c r="C158" s="9">
        <v>1</v>
      </c>
      <c r="D158" s="8" t="s">
        <v>350</v>
      </c>
      <c r="E158" s="10" t="s">
        <v>78</v>
      </c>
      <c r="F158" s="10"/>
      <c r="G158" s="10" t="s">
        <v>262</v>
      </c>
      <c r="H158" s="10"/>
      <c r="I158" s="10" t="s">
        <v>78</v>
      </c>
      <c r="J158" s="10" t="s">
        <v>78</v>
      </c>
      <c r="K158" s="10"/>
      <c r="L158" s="9" t="str">
        <f t="shared" si="2"/>
        <v/>
      </c>
      <c r="M158" s="8" t="s">
        <v>351</v>
      </c>
    </row>
    <row r="159" spans="1:20" ht="57.95">
      <c r="A159" s="8" t="s">
        <v>352</v>
      </c>
      <c r="B159" s="8" t="s">
        <v>353</v>
      </c>
      <c r="C159" s="9">
        <v>1</v>
      </c>
      <c r="D159" s="8" t="s">
        <v>354</v>
      </c>
      <c r="E159" s="10" t="s">
        <v>78</v>
      </c>
      <c r="F159" s="10"/>
      <c r="G159" s="10" t="s">
        <v>262</v>
      </c>
      <c r="H159" s="10"/>
      <c r="I159" s="10" t="s">
        <v>78</v>
      </c>
      <c r="J159" s="10" t="s">
        <v>78</v>
      </c>
      <c r="K159" s="10"/>
      <c r="L159" s="9" t="str">
        <f t="shared" si="2"/>
        <v/>
      </c>
      <c r="M159" s="8" t="s">
        <v>355</v>
      </c>
    </row>
    <row r="160" spans="1:20" ht="57.95">
      <c r="A160" s="8" t="s">
        <v>356</v>
      </c>
      <c r="B160" s="8" t="s">
        <v>357</v>
      </c>
      <c r="C160" s="9">
        <v>1</v>
      </c>
      <c r="D160" s="8" t="s">
        <v>358</v>
      </c>
      <c r="E160" s="10" t="s">
        <v>78</v>
      </c>
      <c r="F160" s="10"/>
      <c r="G160" s="10" t="s">
        <v>262</v>
      </c>
      <c r="H160" s="10"/>
      <c r="I160" s="10" t="s">
        <v>78</v>
      </c>
      <c r="J160" s="10" t="s">
        <v>78</v>
      </c>
      <c r="K160" s="10"/>
      <c r="L160" s="9" t="str">
        <f t="shared" si="2"/>
        <v/>
      </c>
      <c r="M160" s="8" t="s">
        <v>359</v>
      </c>
    </row>
    <row r="161" spans="1:13" ht="57.95">
      <c r="A161" s="8" t="s">
        <v>360</v>
      </c>
      <c r="B161" s="8" t="s">
        <v>361</v>
      </c>
      <c r="C161" s="9">
        <v>1</v>
      </c>
      <c r="D161" s="8" t="s">
        <v>362</v>
      </c>
      <c r="E161" s="10" t="s">
        <v>78</v>
      </c>
      <c r="F161" s="10"/>
      <c r="G161" s="10" t="s">
        <v>262</v>
      </c>
      <c r="H161" s="10"/>
      <c r="I161" s="10" t="s">
        <v>78</v>
      </c>
      <c r="J161" s="10" t="s">
        <v>78</v>
      </c>
      <c r="K161" s="10"/>
      <c r="L161" s="9" t="str">
        <f t="shared" si="2"/>
        <v/>
      </c>
      <c r="M161" s="8" t="s">
        <v>363</v>
      </c>
    </row>
    <row r="162" spans="1:13" ht="43.5">
      <c r="A162" s="8" t="s">
        <v>364</v>
      </c>
      <c r="B162" s="8" t="s">
        <v>365</v>
      </c>
      <c r="C162" s="9">
        <v>1</v>
      </c>
      <c r="D162" s="8" t="s">
        <v>366</v>
      </c>
      <c r="E162" s="10" t="s">
        <v>78</v>
      </c>
      <c r="F162" s="10"/>
      <c r="G162" s="10" t="s">
        <v>262</v>
      </c>
      <c r="H162" s="10"/>
      <c r="I162" s="10" t="s">
        <v>78</v>
      </c>
      <c r="J162" s="10" t="s">
        <v>78</v>
      </c>
      <c r="K162" s="10"/>
      <c r="L162" s="9" t="str">
        <f t="shared" si="2"/>
        <v/>
      </c>
      <c r="M162" s="8" t="s">
        <v>367</v>
      </c>
    </row>
    <row r="163" spans="1:13" ht="57.95">
      <c r="A163" s="8" t="s">
        <v>368</v>
      </c>
      <c r="B163" s="8" t="s">
        <v>369</v>
      </c>
      <c r="C163" s="9">
        <v>1</v>
      </c>
      <c r="D163" s="8" t="s">
        <v>370</v>
      </c>
      <c r="E163" s="10" t="s">
        <v>78</v>
      </c>
      <c r="F163" s="10"/>
      <c r="G163" s="10" t="s">
        <v>262</v>
      </c>
      <c r="H163" s="10"/>
      <c r="I163" s="10" t="s">
        <v>78</v>
      </c>
      <c r="J163" s="10" t="s">
        <v>78</v>
      </c>
      <c r="K163" s="10"/>
      <c r="L163" s="9" t="str">
        <f t="shared" si="2"/>
        <v/>
      </c>
      <c r="M163" s="8" t="s">
        <v>371</v>
      </c>
    </row>
    <row r="164" spans="1:13" ht="43.5">
      <c r="A164" s="8" t="s">
        <v>372</v>
      </c>
      <c r="B164" s="8" t="s">
        <v>373</v>
      </c>
      <c r="C164" s="9">
        <v>1</v>
      </c>
      <c r="D164" s="8" t="s">
        <v>374</v>
      </c>
      <c r="E164" s="10" t="s">
        <v>78</v>
      </c>
      <c r="F164" s="10"/>
      <c r="G164" s="10" t="s">
        <v>262</v>
      </c>
      <c r="H164" s="10"/>
      <c r="I164" s="10" t="s">
        <v>78</v>
      </c>
      <c r="J164" s="10" t="s">
        <v>78</v>
      </c>
      <c r="K164" s="10"/>
      <c r="L164" s="9" t="str">
        <f t="shared" si="2"/>
        <v/>
      </c>
      <c r="M164" s="8" t="s">
        <v>375</v>
      </c>
    </row>
    <row r="165" spans="1:13" ht="43.5">
      <c r="A165" s="8" t="s">
        <v>376</v>
      </c>
      <c r="B165" s="8" t="s">
        <v>377</v>
      </c>
      <c r="C165" s="9">
        <v>1</v>
      </c>
      <c r="D165" s="8" t="s">
        <v>378</v>
      </c>
      <c r="E165" s="10" t="s">
        <v>78</v>
      </c>
      <c r="F165" s="10"/>
      <c r="G165" s="10" t="s">
        <v>262</v>
      </c>
      <c r="H165" s="10"/>
      <c r="I165" s="10" t="s">
        <v>78</v>
      </c>
      <c r="J165" s="10" t="s">
        <v>78</v>
      </c>
      <c r="K165" s="10"/>
      <c r="L165" s="9" t="str">
        <f t="shared" si="2"/>
        <v/>
      </c>
      <c r="M165" s="8" t="s">
        <v>379</v>
      </c>
    </row>
    <row r="166" spans="1:13" ht="57.95">
      <c r="A166" s="8" t="s">
        <v>380</v>
      </c>
      <c r="B166" s="8" t="s">
        <v>381</v>
      </c>
      <c r="C166" s="9">
        <v>1</v>
      </c>
      <c r="D166" s="8" t="s">
        <v>382</v>
      </c>
      <c r="E166" s="10" t="s">
        <v>78</v>
      </c>
      <c r="F166" s="10"/>
      <c r="G166" s="10" t="s">
        <v>262</v>
      </c>
      <c r="H166" s="10"/>
      <c r="I166" s="10" t="s">
        <v>78</v>
      </c>
      <c r="J166" s="10" t="s">
        <v>78</v>
      </c>
      <c r="K166" s="10"/>
      <c r="L166" s="9" t="str">
        <f t="shared" si="2"/>
        <v/>
      </c>
      <c r="M166" s="8" t="s">
        <v>383</v>
      </c>
    </row>
    <row r="167" spans="1:13" ht="43.5">
      <c r="A167" s="8" t="s">
        <v>384</v>
      </c>
      <c r="B167" s="8" t="s">
        <v>385</v>
      </c>
      <c r="C167" s="9">
        <v>1</v>
      </c>
      <c r="D167" s="8" t="s">
        <v>386</v>
      </c>
      <c r="E167" s="10" t="s">
        <v>78</v>
      </c>
      <c r="F167" s="10"/>
      <c r="G167" s="10" t="s">
        <v>262</v>
      </c>
      <c r="H167" s="10"/>
      <c r="I167" s="10" t="s">
        <v>78</v>
      </c>
      <c r="J167" s="10" t="s">
        <v>78</v>
      </c>
      <c r="K167" s="10"/>
      <c r="L167" s="9" t="str">
        <f t="shared" si="2"/>
        <v/>
      </c>
      <c r="M167" s="8" t="s">
        <v>387</v>
      </c>
    </row>
    <row r="168" spans="1:13" ht="57.95">
      <c r="A168" s="8" t="s">
        <v>388</v>
      </c>
      <c r="B168" s="8" t="s">
        <v>389</v>
      </c>
      <c r="C168" s="9">
        <v>1</v>
      </c>
      <c r="D168" s="8" t="s">
        <v>390</v>
      </c>
      <c r="E168" s="10" t="s">
        <v>78</v>
      </c>
      <c r="F168" s="10"/>
      <c r="G168" s="10" t="s">
        <v>262</v>
      </c>
      <c r="H168" s="10"/>
      <c r="I168" s="10" t="s">
        <v>78</v>
      </c>
      <c r="J168" s="10" t="s">
        <v>78</v>
      </c>
      <c r="K168" s="10"/>
      <c r="L168" s="9" t="str">
        <f t="shared" si="2"/>
        <v/>
      </c>
      <c r="M168" s="8" t="s">
        <v>391</v>
      </c>
    </row>
    <row r="169" spans="1:13" ht="29.1">
      <c r="A169" s="8" t="s">
        <v>392</v>
      </c>
      <c r="B169" s="8" t="s">
        <v>393</v>
      </c>
      <c r="C169" s="9">
        <v>1</v>
      </c>
      <c r="D169" s="8" t="s">
        <v>394</v>
      </c>
      <c r="E169" s="10" t="s">
        <v>78</v>
      </c>
      <c r="F169" s="10"/>
      <c r="G169" s="10" t="s">
        <v>262</v>
      </c>
      <c r="H169" s="10"/>
      <c r="I169" s="10" t="s">
        <v>78</v>
      </c>
      <c r="J169" s="10" t="s">
        <v>78</v>
      </c>
      <c r="K169" s="10"/>
      <c r="L169" s="9" t="str">
        <f t="shared" si="2"/>
        <v/>
      </c>
      <c r="M169" s="8" t="s">
        <v>395</v>
      </c>
    </row>
    <row r="170" spans="1:13" ht="43.5">
      <c r="A170" s="8" t="s">
        <v>396</v>
      </c>
      <c r="B170" s="8" t="s">
        <v>397</v>
      </c>
      <c r="C170" s="9">
        <v>1</v>
      </c>
      <c r="D170" s="8" t="s">
        <v>398</v>
      </c>
      <c r="E170" s="10" t="s">
        <v>78</v>
      </c>
      <c r="F170" s="10"/>
      <c r="G170" s="10" t="s">
        <v>262</v>
      </c>
      <c r="H170" s="10"/>
      <c r="I170" s="10" t="s">
        <v>78</v>
      </c>
      <c r="J170" s="10" t="s">
        <v>78</v>
      </c>
      <c r="K170" s="10"/>
      <c r="L170" s="9" t="str">
        <f t="shared" si="2"/>
        <v/>
      </c>
      <c r="M170" s="8" t="s">
        <v>399</v>
      </c>
    </row>
    <row r="171" spans="1:13" ht="43.5">
      <c r="A171" s="8" t="s">
        <v>400</v>
      </c>
      <c r="B171" s="8" t="s">
        <v>401</v>
      </c>
      <c r="C171" s="9">
        <v>1</v>
      </c>
      <c r="D171" s="8" t="s">
        <v>402</v>
      </c>
      <c r="E171" s="10" t="s">
        <v>78</v>
      </c>
      <c r="F171" s="10"/>
      <c r="G171" s="10" t="s">
        <v>262</v>
      </c>
      <c r="H171" s="10"/>
      <c r="I171" s="10" t="s">
        <v>78</v>
      </c>
      <c r="J171" s="10" t="s">
        <v>78</v>
      </c>
      <c r="K171" s="10"/>
      <c r="L171" s="9" t="str">
        <f t="shared" si="2"/>
        <v/>
      </c>
      <c r="M171" s="8" t="s">
        <v>403</v>
      </c>
    </row>
    <row r="172" spans="1:13" ht="43.5">
      <c r="A172" s="8" t="s">
        <v>404</v>
      </c>
      <c r="B172" s="8" t="s">
        <v>405</v>
      </c>
      <c r="C172" s="9">
        <v>1</v>
      </c>
      <c r="D172" s="8" t="s">
        <v>406</v>
      </c>
      <c r="E172" s="10" t="s">
        <v>78</v>
      </c>
      <c r="F172" s="10"/>
      <c r="G172" s="10" t="s">
        <v>262</v>
      </c>
      <c r="H172" s="10"/>
      <c r="I172" s="10" t="s">
        <v>78</v>
      </c>
      <c r="J172" s="10" t="s">
        <v>78</v>
      </c>
      <c r="K172" s="10"/>
      <c r="L172" s="9" t="str">
        <f t="shared" si="2"/>
        <v/>
      </c>
      <c r="M172" s="8" t="s">
        <v>407</v>
      </c>
    </row>
    <row r="173" spans="1:13" ht="57.95">
      <c r="A173" s="8" t="s">
        <v>408</v>
      </c>
      <c r="B173" s="8" t="s">
        <v>409</v>
      </c>
      <c r="C173" s="9">
        <v>1</v>
      </c>
      <c r="D173" s="8" t="s">
        <v>410</v>
      </c>
      <c r="E173" s="10" t="s">
        <v>78</v>
      </c>
      <c r="F173" s="10"/>
      <c r="G173" s="10" t="s">
        <v>262</v>
      </c>
      <c r="H173" s="10"/>
      <c r="I173" s="10" t="s">
        <v>78</v>
      </c>
      <c r="J173" s="10" t="s">
        <v>78</v>
      </c>
      <c r="K173" s="10"/>
      <c r="L173" s="9" t="str">
        <f t="shared" si="2"/>
        <v/>
      </c>
      <c r="M173" s="8" t="s">
        <v>411</v>
      </c>
    </row>
    <row r="174" spans="1:13" ht="29.1">
      <c r="A174" s="8" t="s">
        <v>412</v>
      </c>
      <c r="B174" s="8" t="s">
        <v>413</v>
      </c>
      <c r="C174" s="9">
        <v>1</v>
      </c>
      <c r="D174" s="8" t="s">
        <v>414</v>
      </c>
      <c r="E174" s="10" t="s">
        <v>78</v>
      </c>
      <c r="F174" s="10"/>
      <c r="G174" s="10" t="s">
        <v>262</v>
      </c>
      <c r="H174" s="10"/>
      <c r="I174" s="10" t="s">
        <v>78</v>
      </c>
      <c r="J174" s="10" t="s">
        <v>78</v>
      </c>
      <c r="K174" s="10"/>
      <c r="L174" s="9" t="str">
        <f t="shared" si="2"/>
        <v/>
      </c>
      <c r="M174" s="8" t="s">
        <v>415</v>
      </c>
    </row>
    <row r="175" spans="1:13" ht="57.95">
      <c r="A175" s="8" t="s">
        <v>416</v>
      </c>
      <c r="B175" s="8" t="s">
        <v>417</v>
      </c>
      <c r="C175" s="9">
        <v>1</v>
      </c>
      <c r="D175" s="8" t="s">
        <v>418</v>
      </c>
      <c r="E175" s="10" t="s">
        <v>78</v>
      </c>
      <c r="F175" s="10"/>
      <c r="G175" s="10" t="s">
        <v>262</v>
      </c>
      <c r="H175" s="10"/>
      <c r="I175" s="10" t="s">
        <v>78</v>
      </c>
      <c r="J175" s="10" t="s">
        <v>78</v>
      </c>
      <c r="K175" s="10"/>
      <c r="L175" s="9" t="str">
        <f t="shared" si="2"/>
        <v/>
      </c>
      <c r="M175" s="8" t="s">
        <v>419</v>
      </c>
    </row>
    <row r="176" spans="1:13" ht="29.1">
      <c r="A176" s="8" t="s">
        <v>420</v>
      </c>
      <c r="B176" s="8" t="s">
        <v>421</v>
      </c>
      <c r="C176" s="9">
        <v>1</v>
      </c>
      <c r="D176" s="8" t="s">
        <v>422</v>
      </c>
      <c r="E176" s="10" t="s">
        <v>78</v>
      </c>
      <c r="F176" s="10"/>
      <c r="G176" s="10" t="s">
        <v>262</v>
      </c>
      <c r="H176" s="10"/>
      <c r="I176" s="10" t="s">
        <v>78</v>
      </c>
      <c r="J176" s="10" t="s">
        <v>78</v>
      </c>
      <c r="K176" s="10"/>
      <c r="L176" s="9" t="str">
        <f t="shared" si="2"/>
        <v/>
      </c>
      <c r="M176" s="8" t="s">
        <v>423</v>
      </c>
    </row>
    <row r="177" spans="1:13" ht="43.5">
      <c r="A177" s="8" t="s">
        <v>424</v>
      </c>
      <c r="B177" s="8" t="s">
        <v>425</v>
      </c>
      <c r="C177" s="9">
        <v>1</v>
      </c>
      <c r="D177" s="8" t="s">
        <v>426</v>
      </c>
      <c r="E177" s="10" t="s">
        <v>78</v>
      </c>
      <c r="F177" s="10"/>
      <c r="G177" s="10" t="s">
        <v>262</v>
      </c>
      <c r="H177" s="10"/>
      <c r="I177" s="10" t="s">
        <v>78</v>
      </c>
      <c r="J177" s="10" t="s">
        <v>78</v>
      </c>
      <c r="K177" s="10"/>
      <c r="L177" s="9" t="str">
        <f t="shared" si="2"/>
        <v/>
      </c>
      <c r="M177" s="8" t="s">
        <v>427</v>
      </c>
    </row>
    <row r="178" spans="1:13" ht="43.5">
      <c r="A178" s="8" t="s">
        <v>428</v>
      </c>
      <c r="B178" s="8" t="s">
        <v>429</v>
      </c>
      <c r="C178" s="9">
        <v>1</v>
      </c>
      <c r="D178" s="8" t="s">
        <v>430</v>
      </c>
      <c r="E178" s="10" t="s">
        <v>78</v>
      </c>
      <c r="F178" s="10"/>
      <c r="G178" s="10" t="s">
        <v>262</v>
      </c>
      <c r="H178" s="10"/>
      <c r="I178" s="10" t="s">
        <v>78</v>
      </c>
      <c r="J178" s="10" t="s">
        <v>78</v>
      </c>
      <c r="K178" s="10"/>
      <c r="L178" s="9" t="str">
        <f t="shared" si="2"/>
        <v/>
      </c>
      <c r="M178" s="8" t="s">
        <v>431</v>
      </c>
    </row>
    <row r="179" spans="1:13" ht="43.5">
      <c r="A179" s="8" t="s">
        <v>432</v>
      </c>
      <c r="B179" s="8" t="s">
        <v>433</v>
      </c>
      <c r="C179" s="9">
        <v>1</v>
      </c>
      <c r="D179" s="8" t="s">
        <v>434</v>
      </c>
      <c r="E179" s="10" t="s">
        <v>78</v>
      </c>
      <c r="F179" s="10"/>
      <c r="G179" s="10" t="s">
        <v>262</v>
      </c>
      <c r="H179" s="10"/>
      <c r="I179" s="10" t="s">
        <v>78</v>
      </c>
      <c r="J179" s="10" t="s">
        <v>78</v>
      </c>
      <c r="K179" s="10"/>
      <c r="L179" s="9" t="str">
        <f t="shared" si="2"/>
        <v/>
      </c>
      <c r="M179" s="8" t="s">
        <v>435</v>
      </c>
    </row>
    <row r="180" spans="1:13" ht="43.5">
      <c r="A180" s="8" t="s">
        <v>436</v>
      </c>
      <c r="B180" s="8" t="s">
        <v>437</v>
      </c>
      <c r="C180" s="9">
        <v>1</v>
      </c>
      <c r="D180" s="8" t="s">
        <v>438</v>
      </c>
      <c r="E180" s="10" t="s">
        <v>78</v>
      </c>
      <c r="F180" s="10"/>
      <c r="G180" s="10" t="s">
        <v>262</v>
      </c>
      <c r="H180" s="10"/>
      <c r="I180" s="10" t="s">
        <v>78</v>
      </c>
      <c r="J180" s="10" t="s">
        <v>78</v>
      </c>
      <c r="K180" s="10"/>
      <c r="L180" s="9" t="str">
        <f t="shared" si="2"/>
        <v/>
      </c>
      <c r="M180" s="8" t="s">
        <v>439</v>
      </c>
    </row>
    <row r="181" spans="1:13" ht="43.5">
      <c r="A181" s="8" t="s">
        <v>440</v>
      </c>
      <c r="B181" s="8" t="s">
        <v>441</v>
      </c>
      <c r="C181" s="9">
        <v>1</v>
      </c>
      <c r="D181" s="8" t="s">
        <v>442</v>
      </c>
      <c r="E181" s="10" t="s">
        <v>78</v>
      </c>
      <c r="F181" s="10"/>
      <c r="G181" s="10" t="s">
        <v>262</v>
      </c>
      <c r="H181" s="10"/>
      <c r="I181" s="10" t="s">
        <v>78</v>
      </c>
      <c r="J181" s="10" t="s">
        <v>78</v>
      </c>
      <c r="K181" s="10"/>
      <c r="L181" s="9" t="str">
        <f t="shared" si="2"/>
        <v/>
      </c>
      <c r="M181" s="8" t="s">
        <v>443</v>
      </c>
    </row>
    <row r="182" spans="1:13" ht="43.5">
      <c r="A182" s="8" t="s">
        <v>444</v>
      </c>
      <c r="B182" s="8" t="s">
        <v>445</v>
      </c>
      <c r="C182" s="9">
        <v>1</v>
      </c>
      <c r="D182" s="8" t="s">
        <v>446</v>
      </c>
      <c r="E182" s="10" t="s">
        <v>78</v>
      </c>
      <c r="F182" s="10"/>
      <c r="G182" s="10" t="s">
        <v>262</v>
      </c>
      <c r="H182" s="10"/>
      <c r="I182" s="10" t="s">
        <v>78</v>
      </c>
      <c r="J182" s="10" t="s">
        <v>78</v>
      </c>
      <c r="K182" s="10"/>
      <c r="L182" s="9" t="str">
        <f t="shared" si="2"/>
        <v/>
      </c>
      <c r="M182" s="8" t="s">
        <v>447</v>
      </c>
    </row>
    <row r="183" spans="1:13" ht="29.1">
      <c r="A183" s="8" t="s">
        <v>448</v>
      </c>
      <c r="B183" s="8" t="s">
        <v>449</v>
      </c>
      <c r="C183" s="9">
        <v>1</v>
      </c>
      <c r="D183" s="8" t="s">
        <v>450</v>
      </c>
      <c r="E183" s="10" t="s">
        <v>78</v>
      </c>
      <c r="F183" s="10"/>
      <c r="G183" s="10" t="s">
        <v>262</v>
      </c>
      <c r="H183" s="10"/>
      <c r="I183" s="10" t="s">
        <v>78</v>
      </c>
      <c r="J183" s="10" t="s">
        <v>78</v>
      </c>
      <c r="K183" s="10"/>
      <c r="L183" s="9" t="str">
        <f t="shared" si="2"/>
        <v/>
      </c>
      <c r="M183" s="8" t="s">
        <v>451</v>
      </c>
    </row>
    <row r="184" spans="1:13" ht="43.5">
      <c r="A184" s="8" t="s">
        <v>452</v>
      </c>
      <c r="B184" s="8" t="s">
        <v>453</v>
      </c>
      <c r="C184" s="9">
        <v>1</v>
      </c>
      <c r="D184" s="8" t="s">
        <v>454</v>
      </c>
      <c r="E184" s="10" t="s">
        <v>78</v>
      </c>
      <c r="F184" s="10"/>
      <c r="G184" s="10" t="s">
        <v>262</v>
      </c>
      <c r="H184" s="10"/>
      <c r="I184" s="10" t="s">
        <v>78</v>
      </c>
      <c r="J184" s="10" t="s">
        <v>78</v>
      </c>
      <c r="K184" s="10"/>
      <c r="L184" s="9" t="str">
        <f t="shared" si="2"/>
        <v/>
      </c>
      <c r="M184" s="8" t="s">
        <v>455</v>
      </c>
    </row>
    <row r="185" spans="1:13" ht="43.5">
      <c r="A185" s="8" t="s">
        <v>456</v>
      </c>
      <c r="B185" s="8" t="s">
        <v>457</v>
      </c>
      <c r="C185" s="9">
        <v>1</v>
      </c>
      <c r="D185" s="8" t="s">
        <v>458</v>
      </c>
      <c r="E185" s="10" t="s">
        <v>78</v>
      </c>
      <c r="F185" s="10"/>
      <c r="G185" s="10" t="s">
        <v>262</v>
      </c>
      <c r="H185" s="10"/>
      <c r="I185" s="10" t="s">
        <v>78</v>
      </c>
      <c r="J185" s="10" t="s">
        <v>78</v>
      </c>
      <c r="K185" s="10"/>
      <c r="L185" s="9" t="str">
        <f t="shared" si="2"/>
        <v/>
      </c>
      <c r="M185" s="8" t="s">
        <v>459</v>
      </c>
    </row>
    <row r="186" spans="1:13" ht="57.95">
      <c r="A186" s="8" t="s">
        <v>460</v>
      </c>
      <c r="B186" s="8" t="s">
        <v>461</v>
      </c>
      <c r="C186" s="9">
        <v>1</v>
      </c>
      <c r="D186" s="8" t="s">
        <v>462</v>
      </c>
      <c r="E186" s="10" t="s">
        <v>78</v>
      </c>
      <c r="F186" s="10"/>
      <c r="G186" s="10" t="s">
        <v>262</v>
      </c>
      <c r="H186" s="10"/>
      <c r="I186" s="10" t="s">
        <v>78</v>
      </c>
      <c r="J186" s="10" t="s">
        <v>78</v>
      </c>
      <c r="K186" s="10"/>
      <c r="L186" s="9" t="str">
        <f t="shared" si="2"/>
        <v/>
      </c>
      <c r="M186" s="8" t="s">
        <v>463</v>
      </c>
    </row>
    <row r="187" spans="1:13" ht="43.5">
      <c r="A187" s="8" t="s">
        <v>464</v>
      </c>
      <c r="B187" s="8" t="s">
        <v>465</v>
      </c>
      <c r="C187" s="9">
        <v>1</v>
      </c>
      <c r="D187" s="8" t="s">
        <v>466</v>
      </c>
      <c r="E187" s="10" t="s">
        <v>78</v>
      </c>
      <c r="F187" s="10"/>
      <c r="G187" s="10" t="s">
        <v>262</v>
      </c>
      <c r="H187" s="10"/>
      <c r="I187" s="10" t="s">
        <v>78</v>
      </c>
      <c r="J187" s="10" t="s">
        <v>78</v>
      </c>
      <c r="K187" s="10"/>
      <c r="L187" s="9" t="str">
        <f t="shared" si="2"/>
        <v/>
      </c>
      <c r="M187" s="8" t="s">
        <v>467</v>
      </c>
    </row>
    <row r="188" spans="1:13" ht="43.5">
      <c r="A188" s="8" t="s">
        <v>468</v>
      </c>
      <c r="B188" s="8" t="s">
        <v>469</v>
      </c>
      <c r="C188" s="9">
        <v>1</v>
      </c>
      <c r="D188" s="8" t="s">
        <v>470</v>
      </c>
      <c r="E188" s="10" t="s">
        <v>78</v>
      </c>
      <c r="F188" s="10"/>
      <c r="G188" s="10" t="s">
        <v>262</v>
      </c>
      <c r="H188" s="10"/>
      <c r="I188" s="10" t="s">
        <v>78</v>
      </c>
      <c r="J188" s="10" t="s">
        <v>78</v>
      </c>
      <c r="K188" s="10"/>
      <c r="L188" s="9" t="str">
        <f t="shared" si="2"/>
        <v/>
      </c>
      <c r="M188" s="8" t="s">
        <v>471</v>
      </c>
    </row>
    <row r="189" spans="1:13" ht="43.5">
      <c r="A189" s="8" t="s">
        <v>472</v>
      </c>
      <c r="B189" s="8" t="s">
        <v>473</v>
      </c>
      <c r="C189" s="9">
        <v>1</v>
      </c>
      <c r="D189" s="8" t="s">
        <v>474</v>
      </c>
      <c r="E189" s="10" t="s">
        <v>78</v>
      </c>
      <c r="F189" s="10"/>
      <c r="G189" s="10" t="s">
        <v>262</v>
      </c>
      <c r="H189" s="10"/>
      <c r="I189" s="10" t="s">
        <v>78</v>
      </c>
      <c r="J189" s="10" t="s">
        <v>78</v>
      </c>
      <c r="K189" s="10"/>
      <c r="L189" s="9" t="str">
        <f t="shared" si="2"/>
        <v/>
      </c>
      <c r="M189" s="8" t="s">
        <v>475</v>
      </c>
    </row>
    <row r="190" spans="1:13" ht="43.5">
      <c r="A190" s="8" t="s">
        <v>476</v>
      </c>
      <c r="B190" s="8" t="s">
        <v>477</v>
      </c>
      <c r="C190" s="9">
        <v>1</v>
      </c>
      <c r="D190" s="8" t="s">
        <v>478</v>
      </c>
      <c r="E190" s="10" t="s">
        <v>78</v>
      </c>
      <c r="F190" s="10"/>
      <c r="G190" s="10" t="s">
        <v>262</v>
      </c>
      <c r="H190" s="10"/>
      <c r="I190" s="10" t="s">
        <v>78</v>
      </c>
      <c r="J190" s="10" t="s">
        <v>78</v>
      </c>
      <c r="K190" s="10"/>
      <c r="L190" s="9" t="str">
        <f t="shared" si="2"/>
        <v/>
      </c>
      <c r="M190" s="8" t="s">
        <v>479</v>
      </c>
    </row>
    <row r="191" spans="1:13" ht="43.5">
      <c r="A191" s="8" t="s">
        <v>480</v>
      </c>
      <c r="B191" s="8" t="s">
        <v>481</v>
      </c>
      <c r="C191" s="9">
        <v>1</v>
      </c>
      <c r="D191" s="8" t="s">
        <v>482</v>
      </c>
      <c r="E191" s="10" t="s">
        <v>78</v>
      </c>
      <c r="F191" s="10"/>
      <c r="G191" s="10" t="s">
        <v>262</v>
      </c>
      <c r="H191" s="10"/>
      <c r="I191" s="10" t="s">
        <v>78</v>
      </c>
      <c r="J191" s="10" t="s">
        <v>78</v>
      </c>
      <c r="K191" s="10"/>
      <c r="L191" s="9" t="str">
        <f t="shared" si="2"/>
        <v/>
      </c>
      <c r="M191" s="8" t="s">
        <v>483</v>
      </c>
    </row>
    <row r="192" spans="1:13" ht="43.5">
      <c r="A192" s="8" t="s">
        <v>484</v>
      </c>
      <c r="B192" s="8" t="s">
        <v>485</v>
      </c>
      <c r="C192" s="9">
        <v>1</v>
      </c>
      <c r="D192" s="8" t="s">
        <v>486</v>
      </c>
      <c r="E192" s="10" t="s">
        <v>78</v>
      </c>
      <c r="F192" s="10"/>
      <c r="G192" s="10" t="s">
        <v>262</v>
      </c>
      <c r="H192" s="10"/>
      <c r="I192" s="10" t="s">
        <v>78</v>
      </c>
      <c r="J192" s="10" t="s">
        <v>78</v>
      </c>
      <c r="K192" s="10"/>
      <c r="L192" s="9" t="str">
        <f t="shared" si="2"/>
        <v/>
      </c>
      <c r="M192" s="8" t="s">
        <v>487</v>
      </c>
    </row>
    <row r="193" spans="1:13" ht="43.5">
      <c r="A193" s="8" t="s">
        <v>488</v>
      </c>
      <c r="B193" s="8" t="s">
        <v>489</v>
      </c>
      <c r="C193" s="9">
        <v>1</v>
      </c>
      <c r="D193" s="8" t="s">
        <v>490</v>
      </c>
      <c r="E193" s="10" t="s">
        <v>78</v>
      </c>
      <c r="F193" s="10"/>
      <c r="G193" s="10" t="s">
        <v>262</v>
      </c>
      <c r="H193" s="10"/>
      <c r="I193" s="10" t="s">
        <v>78</v>
      </c>
      <c r="J193" s="10" t="s">
        <v>78</v>
      </c>
      <c r="K193" s="10"/>
      <c r="L193" s="9" t="str">
        <f t="shared" si="2"/>
        <v/>
      </c>
      <c r="M193" s="8" t="s">
        <v>491</v>
      </c>
    </row>
    <row r="194" spans="1:13" ht="29.1">
      <c r="A194" s="8" t="s">
        <v>492</v>
      </c>
      <c r="B194" s="8" t="s">
        <v>493</v>
      </c>
      <c r="C194" s="9">
        <v>1</v>
      </c>
      <c r="D194" s="8" t="s">
        <v>494</v>
      </c>
      <c r="E194" s="10" t="s">
        <v>78</v>
      </c>
      <c r="F194" s="10"/>
      <c r="G194" s="10" t="s">
        <v>262</v>
      </c>
      <c r="H194" s="10"/>
      <c r="I194" s="10" t="s">
        <v>78</v>
      </c>
      <c r="J194" s="10" t="s">
        <v>78</v>
      </c>
      <c r="K194" s="10"/>
      <c r="L194" s="9" t="str">
        <f t="shared" si="2"/>
        <v/>
      </c>
      <c r="M194" s="8" t="s">
        <v>495</v>
      </c>
    </row>
    <row r="195" spans="1:13" ht="43.5">
      <c r="A195" s="8" t="s">
        <v>496</v>
      </c>
      <c r="B195" s="8" t="s">
        <v>497</v>
      </c>
      <c r="C195" s="9">
        <v>1</v>
      </c>
      <c r="D195" s="8" t="s">
        <v>498</v>
      </c>
      <c r="E195" s="10" t="s">
        <v>78</v>
      </c>
      <c r="F195" s="10"/>
      <c r="G195" s="10" t="s">
        <v>262</v>
      </c>
      <c r="H195" s="10"/>
      <c r="I195" s="10" t="s">
        <v>78</v>
      </c>
      <c r="J195" s="10" t="s">
        <v>78</v>
      </c>
      <c r="K195" s="10"/>
      <c r="L195" s="9" t="str">
        <f t="shared" si="2"/>
        <v/>
      </c>
      <c r="M195" s="8" t="s">
        <v>499</v>
      </c>
    </row>
    <row r="196" spans="1:13" ht="43.5">
      <c r="A196" s="8" t="s">
        <v>500</v>
      </c>
      <c r="B196" s="8" t="s">
        <v>501</v>
      </c>
      <c r="C196" s="9">
        <v>1</v>
      </c>
      <c r="D196" s="8" t="s">
        <v>502</v>
      </c>
      <c r="E196" s="10" t="s">
        <v>78</v>
      </c>
      <c r="F196" s="10"/>
      <c r="G196" s="10" t="s">
        <v>262</v>
      </c>
      <c r="H196" s="10"/>
      <c r="I196" s="10" t="s">
        <v>78</v>
      </c>
      <c r="J196" s="10" t="s">
        <v>78</v>
      </c>
      <c r="K196" s="10"/>
      <c r="L196" s="9" t="str">
        <f t="shared" si="2"/>
        <v/>
      </c>
      <c r="M196" s="8" t="s">
        <v>503</v>
      </c>
    </row>
    <row r="197" spans="1:13" ht="57.95">
      <c r="A197" s="8" t="s">
        <v>504</v>
      </c>
      <c r="B197" s="8" t="s">
        <v>505</v>
      </c>
      <c r="C197" s="9">
        <v>1</v>
      </c>
      <c r="D197" s="8" t="s">
        <v>506</v>
      </c>
      <c r="E197" s="10" t="s">
        <v>78</v>
      </c>
      <c r="F197" s="10"/>
      <c r="G197" s="10" t="s">
        <v>262</v>
      </c>
      <c r="H197" s="10"/>
      <c r="I197" s="10" t="s">
        <v>78</v>
      </c>
      <c r="J197" s="10" t="s">
        <v>78</v>
      </c>
      <c r="K197" s="10"/>
      <c r="L197" s="9" t="str">
        <f t="shared" si="2"/>
        <v/>
      </c>
      <c r="M197" s="8" t="s">
        <v>507</v>
      </c>
    </row>
    <row r="198" spans="1:13" ht="57.95">
      <c r="A198" s="8" t="s">
        <v>508</v>
      </c>
      <c r="B198" s="8" t="s">
        <v>509</v>
      </c>
      <c r="C198" s="9">
        <v>1</v>
      </c>
      <c r="D198" s="8" t="s">
        <v>510</v>
      </c>
      <c r="E198" s="10" t="s">
        <v>78</v>
      </c>
      <c r="F198" s="10"/>
      <c r="G198" s="10" t="s">
        <v>262</v>
      </c>
      <c r="H198" s="10"/>
      <c r="I198" s="10" t="s">
        <v>78</v>
      </c>
      <c r="J198" s="10" t="s">
        <v>78</v>
      </c>
      <c r="K198" s="10"/>
      <c r="L198" s="9" t="str">
        <f t="shared" si="2"/>
        <v/>
      </c>
      <c r="M198" s="8" t="s">
        <v>511</v>
      </c>
    </row>
    <row r="199" spans="1:13" ht="43.5">
      <c r="A199" s="8" t="s">
        <v>512</v>
      </c>
      <c r="B199" s="8" t="s">
        <v>513</v>
      </c>
      <c r="C199" s="9">
        <v>1</v>
      </c>
      <c r="D199" s="8" t="s">
        <v>514</v>
      </c>
      <c r="E199" s="10" t="s">
        <v>78</v>
      </c>
      <c r="F199" s="10"/>
      <c r="G199" s="10" t="s">
        <v>262</v>
      </c>
      <c r="H199" s="10"/>
      <c r="I199" s="10" t="s">
        <v>78</v>
      </c>
      <c r="J199" s="10" t="s">
        <v>78</v>
      </c>
      <c r="K199" s="10"/>
      <c r="L199" s="9" t="str">
        <f t="shared" si="2"/>
        <v/>
      </c>
      <c r="M199" s="8" t="s">
        <v>515</v>
      </c>
    </row>
    <row r="200" spans="1:13" ht="43.5">
      <c r="A200" s="8" t="s">
        <v>516</v>
      </c>
      <c r="B200" s="8" t="s">
        <v>517</v>
      </c>
      <c r="C200" s="9">
        <v>1</v>
      </c>
      <c r="D200" s="8" t="s">
        <v>518</v>
      </c>
      <c r="E200" s="10" t="s">
        <v>78</v>
      </c>
      <c r="F200" s="10"/>
      <c r="G200" s="10" t="s">
        <v>262</v>
      </c>
      <c r="H200" s="10"/>
      <c r="I200" s="10" t="s">
        <v>78</v>
      </c>
      <c r="J200" s="10" t="s">
        <v>78</v>
      </c>
      <c r="K200" s="10"/>
      <c r="L200" s="9" t="str">
        <f t="shared" si="2"/>
        <v/>
      </c>
      <c r="M200" s="8" t="s">
        <v>519</v>
      </c>
    </row>
    <row r="201" spans="1:13" ht="43.5">
      <c r="A201" s="8" t="s">
        <v>520</v>
      </c>
      <c r="B201" s="8" t="s">
        <v>521</v>
      </c>
      <c r="C201" s="9">
        <v>1</v>
      </c>
      <c r="D201" s="8" t="s">
        <v>522</v>
      </c>
      <c r="E201" s="10" t="s">
        <v>78</v>
      </c>
      <c r="F201" s="10"/>
      <c r="G201" s="10" t="s">
        <v>262</v>
      </c>
      <c r="H201" s="10"/>
      <c r="I201" s="10" t="s">
        <v>78</v>
      </c>
      <c r="J201" s="10" t="s">
        <v>78</v>
      </c>
      <c r="K201" s="10"/>
      <c r="L201" s="9" t="str">
        <f t="shared" si="2"/>
        <v/>
      </c>
      <c r="M201" s="8" t="s">
        <v>523</v>
      </c>
    </row>
    <row r="202" spans="1:13" ht="43.5">
      <c r="A202" s="8" t="s">
        <v>524</v>
      </c>
      <c r="B202" s="8" t="s">
        <v>525</v>
      </c>
      <c r="C202" s="9">
        <v>1</v>
      </c>
      <c r="D202" s="8" t="s">
        <v>526</v>
      </c>
      <c r="E202" s="10" t="s">
        <v>78</v>
      </c>
      <c r="F202" s="10"/>
      <c r="G202" s="10" t="s">
        <v>262</v>
      </c>
      <c r="H202" s="10"/>
      <c r="I202" s="10" t="s">
        <v>78</v>
      </c>
      <c r="J202" s="10" t="s">
        <v>78</v>
      </c>
      <c r="K202" s="10"/>
      <c r="L202" s="9" t="str">
        <f t="shared" si="2"/>
        <v/>
      </c>
      <c r="M202" s="8" t="s">
        <v>527</v>
      </c>
    </row>
    <row r="203" spans="1:13" ht="43.5">
      <c r="A203" s="8" t="s">
        <v>528</v>
      </c>
      <c r="B203" s="8" t="s">
        <v>529</v>
      </c>
      <c r="C203" s="9">
        <v>1</v>
      </c>
      <c r="D203" s="8" t="s">
        <v>530</v>
      </c>
      <c r="E203" s="10" t="s">
        <v>78</v>
      </c>
      <c r="F203" s="10"/>
      <c r="G203" s="10" t="s">
        <v>262</v>
      </c>
      <c r="H203" s="10"/>
      <c r="I203" s="10" t="s">
        <v>78</v>
      </c>
      <c r="J203" s="10" t="s">
        <v>78</v>
      </c>
      <c r="K203" s="10"/>
      <c r="L203" s="9" t="str">
        <f t="shared" si="2"/>
        <v/>
      </c>
      <c r="M203" s="8" t="s">
        <v>531</v>
      </c>
    </row>
    <row r="204" spans="1:13" ht="29.1">
      <c r="A204" s="8" t="s">
        <v>532</v>
      </c>
      <c r="B204" s="8" t="s">
        <v>533</v>
      </c>
      <c r="C204" s="9">
        <v>1</v>
      </c>
      <c r="D204" s="8" t="s">
        <v>534</v>
      </c>
      <c r="E204" s="10" t="s">
        <v>78</v>
      </c>
      <c r="F204" s="10"/>
      <c r="G204" s="10" t="s">
        <v>262</v>
      </c>
      <c r="H204" s="10"/>
      <c r="I204" s="10" t="s">
        <v>78</v>
      </c>
      <c r="J204" s="10" t="s">
        <v>78</v>
      </c>
      <c r="K204" s="10"/>
      <c r="L204" s="9" t="str">
        <f t="shared" ref="L204:L241" si="3">IF(K204="","",IF(AND(ISNUMBER(I204),ISNUMBER(J204),ISNUMBER(K204)),IF(AND(K204&gt;=I204,K204&lt;=J204),"PASS","FAIL"),"REVIEW"))</f>
        <v/>
      </c>
      <c r="M204" s="8" t="s">
        <v>535</v>
      </c>
    </row>
    <row r="205" spans="1:13" ht="43.5">
      <c r="A205" s="8" t="s">
        <v>536</v>
      </c>
      <c r="B205" s="8" t="s">
        <v>537</v>
      </c>
      <c r="C205" s="9">
        <v>1</v>
      </c>
      <c r="D205" s="8" t="s">
        <v>538</v>
      </c>
      <c r="E205" s="10" t="s">
        <v>78</v>
      </c>
      <c r="F205" s="10"/>
      <c r="G205" s="10" t="s">
        <v>262</v>
      </c>
      <c r="H205" s="10"/>
      <c r="I205" s="10" t="s">
        <v>78</v>
      </c>
      <c r="J205" s="10" t="s">
        <v>78</v>
      </c>
      <c r="K205" s="10"/>
      <c r="L205" s="9" t="str">
        <f t="shared" si="3"/>
        <v/>
      </c>
      <c r="M205" s="8" t="s">
        <v>539</v>
      </c>
    </row>
    <row r="206" spans="1:13" ht="29.1">
      <c r="A206" s="8" t="s">
        <v>540</v>
      </c>
      <c r="B206" s="8" t="s">
        <v>541</v>
      </c>
      <c r="C206" s="9">
        <v>1</v>
      </c>
      <c r="D206" s="8" t="s">
        <v>542</v>
      </c>
      <c r="E206" s="10" t="s">
        <v>78</v>
      </c>
      <c r="F206" s="10"/>
      <c r="G206" s="10" t="s">
        <v>262</v>
      </c>
      <c r="H206" s="10"/>
      <c r="I206" s="10" t="s">
        <v>78</v>
      </c>
      <c r="J206" s="10" t="s">
        <v>78</v>
      </c>
      <c r="K206" s="10"/>
      <c r="L206" s="9" t="str">
        <f t="shared" si="3"/>
        <v/>
      </c>
      <c r="M206" s="8" t="s">
        <v>543</v>
      </c>
    </row>
    <row r="207" spans="1:13" ht="43.5">
      <c r="A207" s="8" t="s">
        <v>544</v>
      </c>
      <c r="B207" s="8" t="s">
        <v>545</v>
      </c>
      <c r="C207" s="9">
        <v>1</v>
      </c>
      <c r="D207" s="8" t="s">
        <v>546</v>
      </c>
      <c r="E207" s="10" t="s">
        <v>78</v>
      </c>
      <c r="F207" s="10"/>
      <c r="G207" s="10" t="s">
        <v>262</v>
      </c>
      <c r="H207" s="10"/>
      <c r="I207" s="10" t="s">
        <v>78</v>
      </c>
      <c r="J207" s="10" t="s">
        <v>78</v>
      </c>
      <c r="K207" s="10"/>
      <c r="L207" s="9" t="str">
        <f t="shared" si="3"/>
        <v/>
      </c>
      <c r="M207" s="8" t="s">
        <v>547</v>
      </c>
    </row>
    <row r="208" spans="1:13" ht="29.1">
      <c r="A208" s="8" t="s">
        <v>548</v>
      </c>
      <c r="B208" s="8" t="s">
        <v>549</v>
      </c>
      <c r="C208" s="9">
        <v>1</v>
      </c>
      <c r="D208" s="8" t="s">
        <v>550</v>
      </c>
      <c r="E208" s="10" t="s">
        <v>78</v>
      </c>
      <c r="F208" s="10"/>
      <c r="G208" s="10" t="s">
        <v>262</v>
      </c>
      <c r="H208" s="10"/>
      <c r="I208" s="10" t="s">
        <v>78</v>
      </c>
      <c r="J208" s="10" t="s">
        <v>78</v>
      </c>
      <c r="K208" s="10"/>
      <c r="L208" s="9" t="str">
        <f t="shared" si="3"/>
        <v/>
      </c>
      <c r="M208" s="8" t="s">
        <v>551</v>
      </c>
    </row>
    <row r="209" spans="1:13" ht="29.1">
      <c r="A209" s="8" t="s">
        <v>552</v>
      </c>
      <c r="B209" s="8" t="s">
        <v>553</v>
      </c>
      <c r="C209" s="9">
        <v>1</v>
      </c>
      <c r="D209" s="8" t="s">
        <v>554</v>
      </c>
      <c r="E209" s="10" t="s">
        <v>78</v>
      </c>
      <c r="F209" s="10"/>
      <c r="G209" s="10" t="s">
        <v>262</v>
      </c>
      <c r="H209" s="10"/>
      <c r="I209" s="10" t="s">
        <v>78</v>
      </c>
      <c r="J209" s="10" t="s">
        <v>78</v>
      </c>
      <c r="K209" s="10"/>
      <c r="L209" s="9" t="str">
        <f t="shared" si="3"/>
        <v/>
      </c>
      <c r="M209" s="8" t="s">
        <v>555</v>
      </c>
    </row>
    <row r="210" spans="1:13" ht="43.5">
      <c r="A210" s="8" t="s">
        <v>556</v>
      </c>
      <c r="B210" s="8" t="s">
        <v>557</v>
      </c>
      <c r="C210" s="9">
        <v>1</v>
      </c>
      <c r="D210" s="8" t="s">
        <v>558</v>
      </c>
      <c r="E210" s="10" t="s">
        <v>78</v>
      </c>
      <c r="F210" s="10"/>
      <c r="G210" s="10" t="s">
        <v>262</v>
      </c>
      <c r="H210" s="10"/>
      <c r="I210" s="10" t="s">
        <v>78</v>
      </c>
      <c r="J210" s="10" t="s">
        <v>78</v>
      </c>
      <c r="K210" s="10"/>
      <c r="L210" s="9" t="str">
        <f t="shared" si="3"/>
        <v/>
      </c>
      <c r="M210" s="8" t="s">
        <v>559</v>
      </c>
    </row>
    <row r="211" spans="1:13" ht="29.1">
      <c r="A211" s="8" t="s">
        <v>560</v>
      </c>
      <c r="B211" s="8" t="s">
        <v>561</v>
      </c>
      <c r="C211" s="9">
        <v>1</v>
      </c>
      <c r="D211" s="8" t="s">
        <v>562</v>
      </c>
      <c r="E211" s="10" t="s">
        <v>78</v>
      </c>
      <c r="F211" s="10"/>
      <c r="G211" s="10" t="s">
        <v>262</v>
      </c>
      <c r="H211" s="10"/>
      <c r="I211" s="10" t="s">
        <v>78</v>
      </c>
      <c r="J211" s="10" t="s">
        <v>78</v>
      </c>
      <c r="K211" s="10"/>
      <c r="L211" s="9" t="str">
        <f t="shared" si="3"/>
        <v/>
      </c>
      <c r="M211" s="8" t="s">
        <v>563</v>
      </c>
    </row>
    <row r="212" spans="1:13" ht="29.1">
      <c r="A212" s="8" t="s">
        <v>564</v>
      </c>
      <c r="B212" s="8" t="s">
        <v>565</v>
      </c>
      <c r="C212" s="9">
        <v>1</v>
      </c>
      <c r="D212" s="8" t="s">
        <v>566</v>
      </c>
      <c r="E212" s="10" t="s">
        <v>78</v>
      </c>
      <c r="F212" s="10"/>
      <c r="G212" s="10" t="s">
        <v>262</v>
      </c>
      <c r="H212" s="10"/>
      <c r="I212" s="10" t="s">
        <v>78</v>
      </c>
      <c r="J212" s="10" t="s">
        <v>78</v>
      </c>
      <c r="K212" s="10"/>
      <c r="L212" s="9" t="str">
        <f t="shared" si="3"/>
        <v/>
      </c>
      <c r="M212" s="8" t="s">
        <v>567</v>
      </c>
    </row>
    <row r="213" spans="1:13" ht="29.1">
      <c r="A213" s="8" t="s">
        <v>568</v>
      </c>
      <c r="B213" s="8" t="s">
        <v>569</v>
      </c>
      <c r="C213" s="9">
        <v>1</v>
      </c>
      <c r="D213" s="8" t="s">
        <v>570</v>
      </c>
      <c r="E213" s="10" t="s">
        <v>78</v>
      </c>
      <c r="F213" s="10"/>
      <c r="G213" s="10" t="s">
        <v>262</v>
      </c>
      <c r="H213" s="10"/>
      <c r="I213" s="10" t="s">
        <v>78</v>
      </c>
      <c r="J213" s="10" t="s">
        <v>78</v>
      </c>
      <c r="K213" s="10"/>
      <c r="L213" s="9" t="str">
        <f t="shared" si="3"/>
        <v/>
      </c>
      <c r="M213" s="8" t="s">
        <v>571</v>
      </c>
    </row>
    <row r="214" spans="1:13" ht="29.1">
      <c r="A214" s="8" t="s">
        <v>572</v>
      </c>
      <c r="B214" s="8" t="s">
        <v>573</v>
      </c>
      <c r="C214" s="9">
        <v>1</v>
      </c>
      <c r="D214" s="8" t="s">
        <v>574</v>
      </c>
      <c r="E214" s="10" t="s">
        <v>78</v>
      </c>
      <c r="F214" s="10"/>
      <c r="G214" s="10" t="s">
        <v>262</v>
      </c>
      <c r="H214" s="10"/>
      <c r="I214" s="10" t="s">
        <v>78</v>
      </c>
      <c r="J214" s="10" t="s">
        <v>78</v>
      </c>
      <c r="K214" s="10"/>
      <c r="L214" s="9" t="str">
        <f t="shared" si="3"/>
        <v/>
      </c>
      <c r="M214" s="8" t="s">
        <v>575</v>
      </c>
    </row>
    <row r="215" spans="1:13" ht="57.95">
      <c r="A215" s="8" t="s">
        <v>576</v>
      </c>
      <c r="B215" s="8" t="s">
        <v>577</v>
      </c>
      <c r="C215" s="9">
        <v>1</v>
      </c>
      <c r="D215" s="8" t="s">
        <v>578</v>
      </c>
      <c r="E215" s="10" t="s">
        <v>78</v>
      </c>
      <c r="F215" s="10"/>
      <c r="G215" s="10" t="s">
        <v>262</v>
      </c>
      <c r="H215" s="10"/>
      <c r="I215" s="10" t="s">
        <v>78</v>
      </c>
      <c r="J215" s="10" t="s">
        <v>78</v>
      </c>
      <c r="K215" s="10"/>
      <c r="L215" s="9" t="str">
        <f t="shared" si="3"/>
        <v/>
      </c>
      <c r="M215" s="8" t="s">
        <v>579</v>
      </c>
    </row>
    <row r="216" spans="1:13" ht="29.1">
      <c r="A216" s="8" t="s">
        <v>580</v>
      </c>
      <c r="B216" s="8" t="s">
        <v>581</v>
      </c>
      <c r="C216" s="9">
        <v>1</v>
      </c>
      <c r="D216" s="8" t="s">
        <v>582</v>
      </c>
      <c r="E216" s="10" t="s">
        <v>78</v>
      </c>
      <c r="F216" s="10"/>
      <c r="G216" s="10" t="s">
        <v>262</v>
      </c>
      <c r="H216" s="10"/>
      <c r="I216" s="10" t="s">
        <v>78</v>
      </c>
      <c r="J216" s="10" t="s">
        <v>78</v>
      </c>
      <c r="K216" s="10"/>
      <c r="L216" s="9" t="str">
        <f t="shared" si="3"/>
        <v/>
      </c>
      <c r="M216" s="8" t="s">
        <v>583</v>
      </c>
    </row>
    <row r="217" spans="1:13" ht="43.5">
      <c r="A217" s="8" t="s">
        <v>584</v>
      </c>
      <c r="B217" s="8" t="s">
        <v>585</v>
      </c>
      <c r="C217" s="9">
        <v>1</v>
      </c>
      <c r="D217" s="8" t="s">
        <v>586</v>
      </c>
      <c r="E217" s="10" t="s">
        <v>78</v>
      </c>
      <c r="F217" s="10"/>
      <c r="G217" s="10" t="s">
        <v>262</v>
      </c>
      <c r="H217" s="10"/>
      <c r="I217" s="10" t="s">
        <v>78</v>
      </c>
      <c r="J217" s="10" t="s">
        <v>78</v>
      </c>
      <c r="K217" s="10"/>
      <c r="L217" s="9" t="str">
        <f t="shared" si="3"/>
        <v/>
      </c>
      <c r="M217" s="8" t="s">
        <v>587</v>
      </c>
    </row>
    <row r="218" spans="1:13" ht="43.5">
      <c r="A218" s="8" t="s">
        <v>588</v>
      </c>
      <c r="B218" s="8" t="s">
        <v>589</v>
      </c>
      <c r="C218" s="9">
        <v>1</v>
      </c>
      <c r="D218" s="8" t="s">
        <v>590</v>
      </c>
      <c r="E218" s="10" t="s">
        <v>78</v>
      </c>
      <c r="F218" s="10"/>
      <c r="G218" s="10" t="s">
        <v>262</v>
      </c>
      <c r="H218" s="10"/>
      <c r="I218" s="10" t="s">
        <v>78</v>
      </c>
      <c r="J218" s="10" t="s">
        <v>78</v>
      </c>
      <c r="K218" s="10"/>
      <c r="L218" s="9" t="str">
        <f t="shared" si="3"/>
        <v/>
      </c>
      <c r="M218" s="8" t="s">
        <v>591</v>
      </c>
    </row>
    <row r="219" spans="1:13" ht="57.95">
      <c r="A219" s="8" t="s">
        <v>592</v>
      </c>
      <c r="B219" s="8" t="s">
        <v>593</v>
      </c>
      <c r="C219" s="9">
        <v>1</v>
      </c>
      <c r="D219" s="8" t="s">
        <v>594</v>
      </c>
      <c r="E219" s="10" t="s">
        <v>78</v>
      </c>
      <c r="F219" s="10"/>
      <c r="G219" s="10" t="s">
        <v>262</v>
      </c>
      <c r="H219" s="10"/>
      <c r="I219" s="10" t="s">
        <v>78</v>
      </c>
      <c r="J219" s="10" t="s">
        <v>78</v>
      </c>
      <c r="K219" s="10"/>
      <c r="L219" s="9" t="str">
        <f t="shared" si="3"/>
        <v/>
      </c>
      <c r="M219" s="8" t="s">
        <v>595</v>
      </c>
    </row>
    <row r="220" spans="1:13" ht="57.95">
      <c r="A220" s="8" t="s">
        <v>596</v>
      </c>
      <c r="B220" s="8" t="s">
        <v>597</v>
      </c>
      <c r="C220" s="9">
        <v>1</v>
      </c>
      <c r="D220" s="8" t="s">
        <v>598</v>
      </c>
      <c r="E220" s="10" t="s">
        <v>78</v>
      </c>
      <c r="F220" s="10"/>
      <c r="G220" s="10" t="s">
        <v>262</v>
      </c>
      <c r="H220" s="10"/>
      <c r="I220" s="10" t="s">
        <v>78</v>
      </c>
      <c r="J220" s="10" t="s">
        <v>78</v>
      </c>
      <c r="K220" s="10"/>
      <c r="L220" s="9" t="str">
        <f t="shared" si="3"/>
        <v/>
      </c>
      <c r="M220" s="8" t="s">
        <v>599</v>
      </c>
    </row>
    <row r="221" spans="1:13" ht="43.5">
      <c r="A221" s="8" t="s">
        <v>600</v>
      </c>
      <c r="B221" s="8" t="s">
        <v>601</v>
      </c>
      <c r="C221" s="9">
        <v>1</v>
      </c>
      <c r="D221" s="8" t="s">
        <v>602</v>
      </c>
      <c r="E221" s="10" t="s">
        <v>78</v>
      </c>
      <c r="F221" s="10"/>
      <c r="G221" s="10" t="s">
        <v>262</v>
      </c>
      <c r="H221" s="10"/>
      <c r="I221" s="10" t="s">
        <v>78</v>
      </c>
      <c r="J221" s="10" t="s">
        <v>78</v>
      </c>
      <c r="K221" s="10"/>
      <c r="L221" s="9" t="str">
        <f t="shared" si="3"/>
        <v/>
      </c>
      <c r="M221" s="8" t="s">
        <v>603</v>
      </c>
    </row>
    <row r="222" spans="1:13" ht="29.1">
      <c r="A222" s="8" t="s">
        <v>604</v>
      </c>
      <c r="B222" s="8" t="s">
        <v>605</v>
      </c>
      <c r="C222" s="9">
        <v>1</v>
      </c>
      <c r="D222" s="8" t="s">
        <v>606</v>
      </c>
      <c r="E222" s="10" t="s">
        <v>78</v>
      </c>
      <c r="F222" s="10"/>
      <c r="G222" s="10" t="s">
        <v>262</v>
      </c>
      <c r="H222" s="10"/>
      <c r="I222" s="10" t="s">
        <v>78</v>
      </c>
      <c r="J222" s="10" t="s">
        <v>78</v>
      </c>
      <c r="K222" s="10"/>
      <c r="L222" s="9" t="str">
        <f t="shared" si="3"/>
        <v/>
      </c>
      <c r="M222" s="8" t="s">
        <v>607</v>
      </c>
    </row>
    <row r="223" spans="1:13" ht="43.5">
      <c r="A223" s="8" t="s">
        <v>608</v>
      </c>
      <c r="B223" s="8" t="s">
        <v>609</v>
      </c>
      <c r="C223" s="9">
        <v>1</v>
      </c>
      <c r="D223" s="8" t="s">
        <v>610</v>
      </c>
      <c r="E223" s="10" t="s">
        <v>78</v>
      </c>
      <c r="F223" s="10"/>
      <c r="G223" s="10" t="s">
        <v>262</v>
      </c>
      <c r="H223" s="10"/>
      <c r="I223" s="10" t="s">
        <v>78</v>
      </c>
      <c r="J223" s="10" t="s">
        <v>78</v>
      </c>
      <c r="K223" s="10"/>
      <c r="L223" s="9" t="str">
        <f t="shared" si="3"/>
        <v/>
      </c>
      <c r="M223" s="8" t="s">
        <v>611</v>
      </c>
    </row>
    <row r="224" spans="1:13" ht="29.1">
      <c r="A224" s="8" t="s">
        <v>612</v>
      </c>
      <c r="B224" s="8" t="s">
        <v>613</v>
      </c>
      <c r="C224" s="9">
        <v>1</v>
      </c>
      <c r="D224" s="8" t="s">
        <v>614</v>
      </c>
      <c r="E224" s="10" t="s">
        <v>78</v>
      </c>
      <c r="F224" s="10"/>
      <c r="G224" s="10" t="s">
        <v>262</v>
      </c>
      <c r="H224" s="10"/>
      <c r="I224" s="10" t="s">
        <v>78</v>
      </c>
      <c r="J224" s="10" t="s">
        <v>78</v>
      </c>
      <c r="K224" s="10"/>
      <c r="L224" s="9" t="str">
        <f t="shared" si="3"/>
        <v/>
      </c>
      <c r="M224" s="8" t="s">
        <v>615</v>
      </c>
    </row>
    <row r="225" spans="1:13" ht="29.1">
      <c r="A225" s="8" t="s">
        <v>616</v>
      </c>
      <c r="B225" s="8" t="s">
        <v>617</v>
      </c>
      <c r="C225" s="9">
        <v>1</v>
      </c>
      <c r="D225" s="8" t="s">
        <v>618</v>
      </c>
      <c r="E225" s="10" t="s">
        <v>78</v>
      </c>
      <c r="F225" s="10"/>
      <c r="G225" s="10" t="s">
        <v>262</v>
      </c>
      <c r="H225" s="10"/>
      <c r="I225" s="10" t="s">
        <v>78</v>
      </c>
      <c r="J225" s="10" t="s">
        <v>78</v>
      </c>
      <c r="K225" s="10"/>
      <c r="L225" s="9" t="str">
        <f t="shared" si="3"/>
        <v/>
      </c>
      <c r="M225" s="8" t="s">
        <v>619</v>
      </c>
    </row>
    <row r="226" spans="1:13" ht="29.1">
      <c r="A226" s="8" t="s">
        <v>620</v>
      </c>
      <c r="B226" s="8" t="s">
        <v>621</v>
      </c>
      <c r="C226" s="9">
        <v>1</v>
      </c>
      <c r="D226" s="8" t="s">
        <v>622</v>
      </c>
      <c r="E226" s="10" t="s">
        <v>78</v>
      </c>
      <c r="F226" s="10"/>
      <c r="G226" s="10" t="s">
        <v>262</v>
      </c>
      <c r="H226" s="10"/>
      <c r="I226" s="10" t="s">
        <v>78</v>
      </c>
      <c r="J226" s="10" t="s">
        <v>78</v>
      </c>
      <c r="K226" s="10"/>
      <c r="L226" s="9" t="str">
        <f t="shared" si="3"/>
        <v/>
      </c>
      <c r="M226" s="8" t="s">
        <v>623</v>
      </c>
    </row>
    <row r="227" spans="1:13" ht="29.1">
      <c r="A227" s="8" t="s">
        <v>624</v>
      </c>
      <c r="B227" s="8" t="s">
        <v>625</v>
      </c>
      <c r="C227" s="9">
        <v>1</v>
      </c>
      <c r="D227" s="8" t="s">
        <v>626</v>
      </c>
      <c r="E227" s="10" t="s">
        <v>78</v>
      </c>
      <c r="F227" s="10"/>
      <c r="G227" s="10" t="s">
        <v>262</v>
      </c>
      <c r="H227" s="10"/>
      <c r="I227" s="10" t="s">
        <v>78</v>
      </c>
      <c r="J227" s="10" t="s">
        <v>78</v>
      </c>
      <c r="K227" s="10"/>
      <c r="L227" s="9" t="str">
        <f t="shared" si="3"/>
        <v/>
      </c>
      <c r="M227" s="8" t="s">
        <v>627</v>
      </c>
    </row>
    <row r="228" spans="1:13" ht="43.5">
      <c r="A228" s="8" t="s">
        <v>628</v>
      </c>
      <c r="B228" s="8" t="s">
        <v>629</v>
      </c>
      <c r="C228" s="9">
        <v>1</v>
      </c>
      <c r="D228" s="8" t="s">
        <v>630</v>
      </c>
      <c r="E228" s="10" t="s">
        <v>78</v>
      </c>
      <c r="F228" s="10"/>
      <c r="G228" s="10" t="s">
        <v>262</v>
      </c>
      <c r="H228" s="10"/>
      <c r="I228" s="10" t="s">
        <v>78</v>
      </c>
      <c r="J228" s="10" t="s">
        <v>78</v>
      </c>
      <c r="K228" s="10"/>
      <c r="L228" s="9" t="str">
        <f t="shared" si="3"/>
        <v/>
      </c>
      <c r="M228" s="8" t="s">
        <v>631</v>
      </c>
    </row>
    <row r="229" spans="1:13" ht="29.1">
      <c r="A229" s="8" t="s">
        <v>632</v>
      </c>
      <c r="B229" s="8" t="s">
        <v>633</v>
      </c>
      <c r="C229" s="9">
        <v>1</v>
      </c>
      <c r="D229" s="8" t="s">
        <v>634</v>
      </c>
      <c r="E229" s="10" t="s">
        <v>78</v>
      </c>
      <c r="F229" s="10"/>
      <c r="G229" s="10" t="s">
        <v>262</v>
      </c>
      <c r="H229" s="10"/>
      <c r="I229" s="10" t="s">
        <v>78</v>
      </c>
      <c r="J229" s="10" t="s">
        <v>78</v>
      </c>
      <c r="K229" s="10"/>
      <c r="L229" s="9" t="str">
        <f t="shared" si="3"/>
        <v/>
      </c>
      <c r="M229" s="8" t="s">
        <v>635</v>
      </c>
    </row>
    <row r="230" spans="1:13" ht="29.1">
      <c r="A230" s="8" t="s">
        <v>636</v>
      </c>
      <c r="B230" s="8" t="s">
        <v>637</v>
      </c>
      <c r="C230" s="9">
        <v>1</v>
      </c>
      <c r="D230" s="8" t="s">
        <v>638</v>
      </c>
      <c r="E230" s="10" t="s">
        <v>78</v>
      </c>
      <c r="F230" s="10"/>
      <c r="G230" s="10" t="s">
        <v>262</v>
      </c>
      <c r="H230" s="10"/>
      <c r="I230" s="10" t="s">
        <v>78</v>
      </c>
      <c r="J230" s="10" t="s">
        <v>78</v>
      </c>
      <c r="K230" s="10"/>
      <c r="L230" s="9" t="str">
        <f t="shared" si="3"/>
        <v/>
      </c>
      <c r="M230" s="8" t="s">
        <v>639</v>
      </c>
    </row>
    <row r="231" spans="1:13" ht="29.1">
      <c r="A231" s="8" t="s">
        <v>640</v>
      </c>
      <c r="B231" s="8" t="s">
        <v>641</v>
      </c>
      <c r="C231" s="9">
        <v>1</v>
      </c>
      <c r="D231" s="8" t="s">
        <v>642</v>
      </c>
      <c r="E231" s="10" t="s">
        <v>78</v>
      </c>
      <c r="F231" s="10"/>
      <c r="G231" s="10" t="s">
        <v>262</v>
      </c>
      <c r="H231" s="10"/>
      <c r="I231" s="10" t="s">
        <v>78</v>
      </c>
      <c r="J231" s="10" t="s">
        <v>78</v>
      </c>
      <c r="K231" s="10"/>
      <c r="L231" s="9" t="str">
        <f t="shared" si="3"/>
        <v/>
      </c>
      <c r="M231" s="8" t="s">
        <v>643</v>
      </c>
    </row>
    <row r="232" spans="1:13" ht="29.1">
      <c r="A232" s="8" t="s">
        <v>644</v>
      </c>
      <c r="B232" s="8" t="s">
        <v>645</v>
      </c>
      <c r="C232" s="9">
        <v>1</v>
      </c>
      <c r="D232" s="8" t="s">
        <v>646</v>
      </c>
      <c r="E232" s="10" t="s">
        <v>78</v>
      </c>
      <c r="F232" s="10"/>
      <c r="G232" s="10" t="s">
        <v>262</v>
      </c>
      <c r="H232" s="10"/>
      <c r="I232" s="10" t="s">
        <v>78</v>
      </c>
      <c r="J232" s="10" t="s">
        <v>78</v>
      </c>
      <c r="K232" s="10"/>
      <c r="L232" s="9" t="str">
        <f t="shared" si="3"/>
        <v/>
      </c>
      <c r="M232" s="8" t="s">
        <v>647</v>
      </c>
    </row>
    <row r="233" spans="1:13" ht="29.1">
      <c r="A233" s="8" t="s">
        <v>648</v>
      </c>
      <c r="B233" s="8" t="s">
        <v>649</v>
      </c>
      <c r="C233" s="9">
        <v>1</v>
      </c>
      <c r="D233" s="8" t="s">
        <v>650</v>
      </c>
      <c r="E233" s="10" t="s">
        <v>78</v>
      </c>
      <c r="F233" s="10"/>
      <c r="G233" s="10" t="s">
        <v>262</v>
      </c>
      <c r="H233" s="10"/>
      <c r="I233" s="10" t="s">
        <v>78</v>
      </c>
      <c r="J233" s="10" t="s">
        <v>78</v>
      </c>
      <c r="K233" s="10"/>
      <c r="L233" s="9" t="str">
        <f t="shared" si="3"/>
        <v/>
      </c>
      <c r="M233" s="8" t="s">
        <v>651</v>
      </c>
    </row>
    <row r="234" spans="1:13" ht="43.5">
      <c r="A234" s="8" t="s">
        <v>652</v>
      </c>
      <c r="B234" s="8" t="s">
        <v>653</v>
      </c>
      <c r="C234" s="9">
        <v>1</v>
      </c>
      <c r="D234" s="8" t="s">
        <v>654</v>
      </c>
      <c r="E234" s="10" t="s">
        <v>78</v>
      </c>
      <c r="F234" s="10"/>
      <c r="G234" s="10" t="s">
        <v>262</v>
      </c>
      <c r="H234" s="10"/>
      <c r="I234" s="10" t="s">
        <v>78</v>
      </c>
      <c r="J234" s="10" t="s">
        <v>78</v>
      </c>
      <c r="K234" s="10"/>
      <c r="L234" s="9" t="str">
        <f t="shared" si="3"/>
        <v/>
      </c>
      <c r="M234" s="8" t="s">
        <v>655</v>
      </c>
    </row>
    <row r="235" spans="1:13" ht="43.5">
      <c r="A235" s="8" t="s">
        <v>656</v>
      </c>
      <c r="B235" s="8" t="s">
        <v>657</v>
      </c>
      <c r="C235" s="9">
        <v>1</v>
      </c>
      <c r="D235" s="8" t="s">
        <v>658</v>
      </c>
      <c r="E235" s="10" t="s">
        <v>78</v>
      </c>
      <c r="F235" s="10"/>
      <c r="G235" s="10" t="s">
        <v>262</v>
      </c>
      <c r="H235" s="10"/>
      <c r="I235" s="10" t="s">
        <v>78</v>
      </c>
      <c r="J235" s="10" t="s">
        <v>78</v>
      </c>
      <c r="K235" s="10"/>
      <c r="L235" s="9" t="str">
        <f t="shared" si="3"/>
        <v/>
      </c>
      <c r="M235" s="8" t="s">
        <v>659</v>
      </c>
    </row>
    <row r="236" spans="1:13" ht="29.1">
      <c r="A236" s="8" t="s">
        <v>660</v>
      </c>
      <c r="B236" s="8" t="s">
        <v>661</v>
      </c>
      <c r="C236" s="9">
        <v>1</v>
      </c>
      <c r="D236" s="8" t="s">
        <v>662</v>
      </c>
      <c r="E236" s="10" t="s">
        <v>78</v>
      </c>
      <c r="F236" s="10"/>
      <c r="G236" s="10" t="s">
        <v>262</v>
      </c>
      <c r="H236" s="10"/>
      <c r="I236" s="10" t="s">
        <v>78</v>
      </c>
      <c r="J236" s="10" t="s">
        <v>78</v>
      </c>
      <c r="K236" s="10"/>
      <c r="L236" s="9" t="str">
        <f t="shared" si="3"/>
        <v/>
      </c>
      <c r="M236" s="8" t="s">
        <v>663</v>
      </c>
    </row>
    <row r="237" spans="1:13" ht="43.5">
      <c r="A237" s="8" t="s">
        <v>664</v>
      </c>
      <c r="B237" s="8" t="s">
        <v>665</v>
      </c>
      <c r="C237" s="9">
        <v>1</v>
      </c>
      <c r="D237" s="8" t="s">
        <v>666</v>
      </c>
      <c r="E237" s="10" t="s">
        <v>78</v>
      </c>
      <c r="F237" s="10"/>
      <c r="G237" s="10" t="s">
        <v>262</v>
      </c>
      <c r="H237" s="10"/>
      <c r="I237" s="10" t="s">
        <v>78</v>
      </c>
      <c r="J237" s="10" t="s">
        <v>78</v>
      </c>
      <c r="K237" s="10"/>
      <c r="L237" s="9" t="str">
        <f t="shared" si="3"/>
        <v/>
      </c>
      <c r="M237" s="8" t="s">
        <v>667</v>
      </c>
    </row>
    <row r="238" spans="1:13" ht="29.1">
      <c r="A238" s="8" t="s">
        <v>668</v>
      </c>
      <c r="B238" s="8" t="s">
        <v>669</v>
      </c>
      <c r="C238" s="9">
        <v>1</v>
      </c>
      <c r="D238" s="8" t="s">
        <v>670</v>
      </c>
      <c r="E238" s="10" t="s">
        <v>78</v>
      </c>
      <c r="F238" s="10"/>
      <c r="G238" s="10" t="s">
        <v>262</v>
      </c>
      <c r="H238" s="10"/>
      <c r="I238" s="10" t="s">
        <v>78</v>
      </c>
      <c r="J238" s="10" t="s">
        <v>78</v>
      </c>
      <c r="K238" s="10"/>
      <c r="L238" s="9" t="str">
        <f t="shared" si="3"/>
        <v/>
      </c>
      <c r="M238" s="8" t="s">
        <v>671</v>
      </c>
    </row>
    <row r="239" spans="1:13" ht="29.1">
      <c r="A239" s="8" t="s">
        <v>672</v>
      </c>
      <c r="B239" s="8" t="s">
        <v>673</v>
      </c>
      <c r="C239" s="9">
        <v>1</v>
      </c>
      <c r="D239" s="8" t="s">
        <v>674</v>
      </c>
      <c r="E239" s="10" t="s">
        <v>78</v>
      </c>
      <c r="F239" s="10"/>
      <c r="G239" s="10" t="s">
        <v>262</v>
      </c>
      <c r="H239" s="10"/>
      <c r="I239" s="10" t="s">
        <v>78</v>
      </c>
      <c r="J239" s="10" t="s">
        <v>78</v>
      </c>
      <c r="K239" s="10"/>
      <c r="L239" s="9" t="str">
        <f t="shared" si="3"/>
        <v/>
      </c>
      <c r="M239" s="8" t="s">
        <v>675</v>
      </c>
    </row>
    <row r="240" spans="1:13" ht="43.5">
      <c r="A240" s="8" t="s">
        <v>676</v>
      </c>
      <c r="B240" s="8" t="s">
        <v>677</v>
      </c>
      <c r="C240" s="9">
        <v>1</v>
      </c>
      <c r="D240" s="8" t="s">
        <v>678</v>
      </c>
      <c r="E240" s="10" t="s">
        <v>78</v>
      </c>
      <c r="F240" s="10"/>
      <c r="G240" s="10" t="s">
        <v>262</v>
      </c>
      <c r="H240" s="10"/>
      <c r="I240" s="10" t="s">
        <v>78</v>
      </c>
      <c r="J240" s="10" t="s">
        <v>78</v>
      </c>
      <c r="K240" s="10"/>
      <c r="L240" s="9" t="str">
        <f t="shared" si="3"/>
        <v/>
      </c>
      <c r="M240" s="8" t="s">
        <v>679</v>
      </c>
    </row>
    <row r="241" spans="1:13" ht="57.95">
      <c r="A241" s="8" t="s">
        <v>680</v>
      </c>
      <c r="B241" s="8" t="s">
        <v>681</v>
      </c>
      <c r="C241" s="9">
        <v>1</v>
      </c>
      <c r="D241" s="8" t="s">
        <v>682</v>
      </c>
      <c r="E241" s="10" t="s">
        <v>78</v>
      </c>
      <c r="F241" s="10"/>
      <c r="G241" s="10" t="s">
        <v>262</v>
      </c>
      <c r="H241" s="10"/>
      <c r="I241" s="10" t="s">
        <v>78</v>
      </c>
      <c r="J241" s="10" t="s">
        <v>78</v>
      </c>
      <c r="K241" s="10"/>
      <c r="L241" s="9" t="str">
        <f t="shared" si="3"/>
        <v/>
      </c>
      <c r="M241" s="8" t="s">
        <v>683</v>
      </c>
    </row>
  </sheetData>
  <conditionalFormatting sqref="L2:L151">
    <cfRule type="expression" dxfId="5" priority="1">
      <formula>L2="PASS"</formula>
    </cfRule>
    <cfRule type="expression" dxfId="4" priority="2">
      <formula>L2="FAIL"</formula>
    </cfRule>
    <cfRule type="expression" dxfId="3" priority="3">
      <formula>L2="BLOCKED"</formula>
    </cfRule>
    <cfRule type="expression" dxfId="2" priority="4">
      <formula>L2="N/A"</formula>
    </cfRule>
  </conditionalFormatting>
  <conditionalFormatting sqref="L2:L241">
    <cfRule type="expression" dxfId="1" priority="5">
      <formula>L2="PASS"</formula>
    </cfRule>
    <cfRule type="expression" dxfId="0" priority="6">
      <formula>L2="FAIL"</formula>
    </cfRule>
  </conditionalFormatting>
  <dataValidations count="1">
    <dataValidation type="list" sqref="L2:L151" xr:uid="{00000000-0002-0000-0000-000000000000}">
      <formula1>"Not Tested,PASS,FAIL,BLOCKED,N/A"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928870c-f9ff-49a3-8084-5f4651434f24">
      <Terms xmlns="http://schemas.microsoft.com/office/infopath/2007/PartnerControls"/>
    </lcf76f155ced4ddcb4097134ff3c332f>
    <_ip_UnifiedCompliancePolicyProperties xmlns="http://schemas.microsoft.com/sharepoint/v3" xsi:nil="true"/>
    <TaxCatchAll xmlns="1785aa32-cd6d-4537-be38-2231e8d215c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E66D8D957F494A91253A8EABA246CB" ma:contentTypeVersion="15" ma:contentTypeDescription="Create a new document." ma:contentTypeScope="" ma:versionID="a1c22c6393a4291796a9fcd717e658f1">
  <xsd:schema xmlns:xsd="http://www.w3.org/2001/XMLSchema" xmlns:xs="http://www.w3.org/2001/XMLSchema" xmlns:p="http://schemas.microsoft.com/office/2006/metadata/properties" xmlns:ns1="http://schemas.microsoft.com/sharepoint/v3" xmlns:ns2="5928870c-f9ff-49a3-8084-5f4651434f24" xmlns:ns3="1785aa32-cd6d-4537-be38-2231e8d215cc" targetNamespace="http://schemas.microsoft.com/office/2006/metadata/properties" ma:root="true" ma:fieldsID="b98585bc683f424b12882dd685df0256" ns1:_="" ns2:_="" ns3:_="">
    <xsd:import namespace="http://schemas.microsoft.com/sharepoint/v3"/>
    <xsd:import namespace="5928870c-f9ff-49a3-8084-5f4651434f24"/>
    <xsd:import namespace="1785aa32-cd6d-4537-be38-2231e8d215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8870c-f9ff-49a3-8084-5f4651434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8b7fce5-c8db-4ba3-bc8c-b114c387b9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85aa32-cd6d-4537-be38-2231e8d215c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051d54-8128-4554-ba01-21921e89ab0e}" ma:internalName="TaxCatchAll" ma:showField="CatchAllData" ma:web="1785aa32-cd6d-4537-be38-2231e8d215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439545-ED6D-47C2-9F98-69D1577964E8}"/>
</file>

<file path=customXml/itemProps2.xml><?xml version="1.0" encoding="utf-8"?>
<ds:datastoreItem xmlns:ds="http://schemas.openxmlformats.org/officeDocument/2006/customXml" ds:itemID="{DD47C33F-D329-47F9-ABE1-FABF577701D5}"/>
</file>

<file path=customXml/itemProps3.xml><?xml version="1.0" encoding="utf-8"?>
<ds:datastoreItem xmlns:ds="http://schemas.openxmlformats.org/officeDocument/2006/customXml" ds:itemID="{DDB874CB-C78D-4F14-AB2E-976AFB2818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Bhavishith  K</cp:lastModifiedBy>
  <cp:revision/>
  <dcterms:created xsi:type="dcterms:W3CDTF">2026-08-18T08:50:05Z</dcterms:created>
  <dcterms:modified xsi:type="dcterms:W3CDTF">2026-10-06T12:19:10Z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0x010100E7E66D8D957F494A91253A8EABA246CB</vt:lpwstr>
  </property>
  <property fmtid="{D5CDD505-2E9C-101B-9397-08002B2CF9AE}" pid="3" name="MediaServiceImageTags">
    <vt:lpwstr/>
  </property>
</Properties>
</file>